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lyanaprokopjuk/Desktop/"/>
    </mc:Choice>
  </mc:AlternateContent>
  <xr:revisionPtr revIDLastSave="0" documentId="13_ncr:1_{33C261A4-2A6D-DF47-A1AA-5E2BD28A1650}" xr6:coauthVersionLast="47" xr6:coauthVersionMax="47" xr10:uidLastSave="{00000000-0000-0000-0000-000000000000}"/>
  <bookViews>
    <workbookView xWindow="4160" yWindow="1320" windowWidth="21200" windowHeight="13980" activeTab="3" xr2:uid="{4A06A8FC-5CF3-564A-B245-A7BFAFEAA710}"/>
  </bookViews>
  <sheets>
    <sheet name="Критерии" sheetId="1" r:id="rId1"/>
    <sheet name="Критерий 1" sheetId="2" r:id="rId2"/>
    <sheet name="Критерий 2" sheetId="4" r:id="rId3"/>
    <sheet name="Критерий 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12" i="5" s="1"/>
  <c r="F7" i="5"/>
  <c r="D7" i="5"/>
  <c r="B7" i="5"/>
  <c r="F5" i="5"/>
  <c r="D5" i="5"/>
  <c r="B15" i="5"/>
  <c r="B13" i="5"/>
  <c r="B11" i="5"/>
  <c r="B12" i="4"/>
  <c r="B11" i="4"/>
  <c r="F7" i="4"/>
  <c r="F6" i="4"/>
  <c r="D7" i="4"/>
  <c r="C8" i="4"/>
  <c r="B15" i="4" s="1"/>
  <c r="C7" i="4"/>
  <c r="C6" i="4"/>
  <c r="B8" i="4"/>
  <c r="B7" i="4"/>
  <c r="B14" i="4" s="1"/>
  <c r="B6" i="4"/>
  <c r="B13" i="4" s="1"/>
  <c r="B13" i="2"/>
  <c r="B14" i="2"/>
  <c r="B15" i="2"/>
  <c r="E8" i="2"/>
  <c r="D8" i="2"/>
  <c r="C8" i="2"/>
  <c r="E6" i="2"/>
  <c r="C6" i="2"/>
  <c r="E5" i="2"/>
  <c r="B12" i="2" s="1"/>
  <c r="F4" i="2"/>
  <c r="E4" i="2"/>
  <c r="B11" i="2" s="1"/>
  <c r="D4" i="2"/>
  <c r="C4" i="2"/>
  <c r="I5" i="1"/>
  <c r="I11" i="1"/>
  <c r="K5" i="1"/>
  <c r="K4" i="1"/>
  <c r="I9" i="1" s="1"/>
  <c r="B11" i="1"/>
  <c r="D5" i="1"/>
  <c r="B10" i="1" s="1"/>
  <c r="D4" i="1"/>
  <c r="B9" i="1" s="1"/>
  <c r="C4" i="1"/>
  <c r="B12" i="1" l="1"/>
  <c r="D9" i="1" s="1"/>
  <c r="B16" i="2"/>
  <c r="D10" i="1"/>
  <c r="E15" i="2"/>
  <c r="D11" i="1"/>
  <c r="E12" i="2"/>
  <c r="B16" i="4"/>
  <c r="E12" i="4" s="1"/>
  <c r="B14" i="5"/>
  <c r="B16" i="5"/>
  <c r="E12" i="5" s="1"/>
  <c r="E13" i="4"/>
  <c r="E14" i="4"/>
  <c r="E15" i="4"/>
  <c r="E11" i="4"/>
  <c r="I10" i="1"/>
  <c r="I12" i="1" s="1"/>
  <c r="H12" i="5" l="1"/>
  <c r="E13" i="2"/>
  <c r="E14" i="2"/>
  <c r="H14" i="5" s="1"/>
  <c r="E11" i="2"/>
  <c r="E11" i="5"/>
  <c r="E15" i="5"/>
  <c r="H15" i="5" s="1"/>
  <c r="E13" i="5"/>
  <c r="E14" i="5"/>
  <c r="K9" i="1"/>
  <c r="K11" i="1"/>
  <c r="K10" i="1"/>
  <c r="H11" i="5" l="1"/>
  <c r="H13" i="5"/>
</calcChain>
</file>

<file path=xl/sharedStrings.xml><?xml version="1.0" encoding="utf-8"?>
<sst xmlns="http://schemas.openxmlformats.org/spreadsheetml/2006/main" count="108" uniqueCount="49">
  <si>
    <t>К1</t>
  </si>
  <si>
    <t>К2</t>
  </si>
  <si>
    <t>К3</t>
  </si>
  <si>
    <t>С1=</t>
  </si>
  <si>
    <t>С2=</t>
  </si>
  <si>
    <t>С3=</t>
  </si>
  <si>
    <t>С=</t>
  </si>
  <si>
    <t>С - сумма средних геометрических строк матрицы</t>
  </si>
  <si>
    <t>М2</t>
  </si>
  <si>
    <t>М3</t>
  </si>
  <si>
    <t>М4</t>
  </si>
  <si>
    <t>М5</t>
  </si>
  <si>
    <t>Матрица парных сравнений критериев по важности (1 эксперт)</t>
  </si>
  <si>
    <t>Матрица парных сравнений критериев по важности (2 эксперт)</t>
  </si>
  <si>
    <t>Матрица парных сравнений альтернатив по критерию ''опыт работы''</t>
  </si>
  <si>
    <t>Матрица парных сравнений альтернатив по критерию ''уровень развития торговой сети''</t>
  </si>
  <si>
    <t>Матрица парных сравнений альтернатив по критерию ''репутация''</t>
  </si>
  <si>
    <t>М6</t>
  </si>
  <si>
    <t>С4=</t>
  </si>
  <si>
    <t>С5=</t>
  </si>
  <si>
    <t>С6=</t>
  </si>
  <si>
    <t>LК1=</t>
  </si>
  <si>
    <t>LК2=</t>
  </si>
  <si>
    <t>LК3=</t>
  </si>
  <si>
    <t>ЛК1M2=</t>
  </si>
  <si>
    <t>ЛК1M3=</t>
  </si>
  <si>
    <t>ЛК1M4=</t>
  </si>
  <si>
    <t>ЛК1M5=</t>
  </si>
  <si>
    <t>ЛК1M6=</t>
  </si>
  <si>
    <t>LК - локальный приоритет критерия</t>
  </si>
  <si>
    <t>LК1M - локальный приоритет альтернатив относительно критерия 1</t>
  </si>
  <si>
    <t>ЛК2M2=</t>
  </si>
  <si>
    <t>ЛК2M3=</t>
  </si>
  <si>
    <t>ЛК2M4=</t>
  </si>
  <si>
    <t>ЛК2M5=</t>
  </si>
  <si>
    <t>ЛК2M6=</t>
  </si>
  <si>
    <t>LК2M - локальный приоритет альтернатив относительно критерия 2</t>
  </si>
  <si>
    <t>ЛК3M2=</t>
  </si>
  <si>
    <t>ЛК3M3=</t>
  </si>
  <si>
    <t>ЛК3M4=</t>
  </si>
  <si>
    <t>ЛК3M5=</t>
  </si>
  <si>
    <t>ЛК3M6=</t>
  </si>
  <si>
    <t>LК3M - локальный приоритет альтернатив относительно критерия 3</t>
  </si>
  <si>
    <t>GM - глобальный приоритет альтернативы</t>
  </si>
  <si>
    <t>GM2=</t>
  </si>
  <si>
    <t>GM3=</t>
  </si>
  <si>
    <t>GM4=</t>
  </si>
  <si>
    <t>GM5=</t>
  </si>
  <si>
    <t>GM6=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</si>
</sst>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4"/>
      <color theme="1"/>
      <name val="Calibri (Основной текст)"/>
      <charset val="204"/>
    </font>
    <font>
      <b/>
      <sz val="14"/>
      <color rgb="FF000000"/>
      <name val="Calibri (Основной текст)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DB91-7524-E84A-AB4B-A826ACEFDC6B}">
  <dimension ref="A1:K16"/>
  <sheetViews>
    <sheetView zoomScale="105" workbookViewId="0">
      <selection activeCell="C20" sqref="C20"/>
    </sheetView>
  </sheetViews>
  <sheetFormatPr baseColWidth="10" defaultRowHeight="16" x14ac:dyDescent="0.2"/>
  <sheetData>
    <row r="1" spans="1:11" ht="19" x14ac:dyDescent="0.25">
      <c r="A1" s="7" t="s">
        <v>12</v>
      </c>
      <c r="H1" s="7" t="s">
        <v>13</v>
      </c>
    </row>
    <row r="3" spans="1:11" x14ac:dyDescent="0.2">
      <c r="B3" s="1" t="s">
        <v>0</v>
      </c>
      <c r="C3" s="1" t="s">
        <v>1</v>
      </c>
      <c r="D3" s="1" t="s">
        <v>2</v>
      </c>
      <c r="I3" s="1" t="s">
        <v>0</v>
      </c>
      <c r="J3" s="1" t="s">
        <v>1</v>
      </c>
      <c r="K3" s="1" t="s">
        <v>2</v>
      </c>
    </row>
    <row r="4" spans="1:11" x14ac:dyDescent="0.2">
      <c r="A4" s="1" t="s">
        <v>0</v>
      </c>
      <c r="B4" s="2">
        <v>1</v>
      </c>
      <c r="C4" s="3">
        <f>1/B5</f>
        <v>0.14285714285714285</v>
      </c>
      <c r="D4" s="2">
        <f>1/B6</f>
        <v>0.5</v>
      </c>
      <c r="H4" s="1" t="s">
        <v>0</v>
      </c>
      <c r="I4" s="2">
        <v>1</v>
      </c>
      <c r="J4" s="9">
        <v>7</v>
      </c>
      <c r="K4" s="2">
        <f>1/I6</f>
        <v>0.125</v>
      </c>
    </row>
    <row r="5" spans="1:11" x14ac:dyDescent="0.2">
      <c r="A5" s="1" t="s">
        <v>1</v>
      </c>
      <c r="B5" s="2">
        <v>7</v>
      </c>
      <c r="C5" s="2">
        <v>1</v>
      </c>
      <c r="D5" s="2">
        <f>1/C6</f>
        <v>0.125</v>
      </c>
      <c r="H5" s="1" t="s">
        <v>1</v>
      </c>
      <c r="I5" s="3">
        <f>1/J4</f>
        <v>0.14285714285714285</v>
      </c>
      <c r="J5" s="2">
        <v>1</v>
      </c>
      <c r="K5" s="2">
        <f>1/J6</f>
        <v>0.5</v>
      </c>
    </row>
    <row r="6" spans="1:11" x14ac:dyDescent="0.2">
      <c r="A6" s="1" t="s">
        <v>2</v>
      </c>
      <c r="B6" s="2">
        <v>2</v>
      </c>
      <c r="C6" s="2">
        <v>8</v>
      </c>
      <c r="D6" s="2">
        <v>1</v>
      </c>
      <c r="H6" s="1" t="s">
        <v>2</v>
      </c>
      <c r="I6" s="2">
        <v>8</v>
      </c>
      <c r="J6" s="2">
        <v>2</v>
      </c>
      <c r="K6" s="2">
        <v>1</v>
      </c>
    </row>
    <row r="9" spans="1:11" x14ac:dyDescent="0.2">
      <c r="A9" s="4" t="s">
        <v>3</v>
      </c>
      <c r="B9" s="5">
        <f>GEOMEAN(B4:D4)</f>
        <v>0.41491326668312173</v>
      </c>
      <c r="C9" s="6" t="s">
        <v>21</v>
      </c>
      <c r="D9" s="5">
        <f>B9/B12</f>
        <v>0.1066280407040688</v>
      </c>
      <c r="H9" s="4" t="s">
        <v>3</v>
      </c>
      <c r="I9" s="5">
        <f>GEOMEAN(I4:K4)</f>
        <v>0.95646559138619458</v>
      </c>
      <c r="J9" s="6" t="s">
        <v>21</v>
      </c>
      <c r="K9" s="5">
        <f>I9/I12</f>
        <v>0.24580089430656205</v>
      </c>
    </row>
    <row r="10" spans="1:11" x14ac:dyDescent="0.2">
      <c r="A10" s="4" t="s">
        <v>4</v>
      </c>
      <c r="B10" s="5">
        <f>GEOMEAN(B5:D5)</f>
        <v>0.95646559138619458</v>
      </c>
      <c r="C10" s="6" t="s">
        <v>22</v>
      </c>
      <c r="D10" s="5">
        <f>B10/B12</f>
        <v>0.24580089430656205</v>
      </c>
      <c r="H10" s="4" t="s">
        <v>4</v>
      </c>
      <c r="I10" s="5">
        <f>GEOMEAN(I5:K5)</f>
        <v>0.41491326668312173</v>
      </c>
      <c r="J10" s="6" t="s">
        <v>22</v>
      </c>
      <c r="K10" s="5">
        <f>I10/I12</f>
        <v>0.1066280407040688</v>
      </c>
    </row>
    <row r="11" spans="1:11" x14ac:dyDescent="0.2">
      <c r="A11" s="4" t="s">
        <v>5</v>
      </c>
      <c r="B11" s="5">
        <f>GEOMEAN(B6:D6)</f>
        <v>2.5198420997897464</v>
      </c>
      <c r="C11" s="6" t="s">
        <v>23</v>
      </c>
      <c r="D11" s="5">
        <f>B11/B12</f>
        <v>0.64757106498936912</v>
      </c>
      <c r="H11" s="4" t="s">
        <v>5</v>
      </c>
      <c r="I11" s="5">
        <f>GEOMEAN(I6:K6)</f>
        <v>2.5198420997897464</v>
      </c>
      <c r="J11" s="6" t="s">
        <v>23</v>
      </c>
      <c r="K11" s="5">
        <f>I11/I12</f>
        <v>0.64757106498936912</v>
      </c>
    </row>
    <row r="12" spans="1:11" x14ac:dyDescent="0.2">
      <c r="A12" s="4" t="s">
        <v>6</v>
      </c>
      <c r="B12" s="5">
        <f>SUM(B9:B11)</f>
        <v>3.8912209578590629</v>
      </c>
      <c r="C12" s="6"/>
      <c r="H12" s="4" t="s">
        <v>6</v>
      </c>
      <c r="I12" s="5">
        <f>SUM(I9:I11)</f>
        <v>3.8912209578590629</v>
      </c>
      <c r="J12" s="6"/>
    </row>
    <row r="15" spans="1:11" x14ac:dyDescent="0.2">
      <c r="A15" t="s">
        <v>7</v>
      </c>
    </row>
    <row r="16" spans="1:11" x14ac:dyDescent="0.2">
      <c r="A16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6B9F-1D0F-C840-BBD3-EE7249CD2613}">
  <dimension ref="A1:F20"/>
  <sheetViews>
    <sheetView zoomScale="110" workbookViewId="0">
      <selection activeCell="G10" sqref="G10"/>
    </sheetView>
  </sheetViews>
  <sheetFormatPr baseColWidth="10" defaultRowHeight="16" x14ac:dyDescent="0.2"/>
  <sheetData>
    <row r="1" spans="1:6" ht="19" x14ac:dyDescent="0.25">
      <c r="A1" s="8" t="s">
        <v>14</v>
      </c>
    </row>
    <row r="3" spans="1:6" x14ac:dyDescent="0.2">
      <c r="B3" s="1" t="s">
        <v>8</v>
      </c>
      <c r="C3" s="1" t="s">
        <v>9</v>
      </c>
      <c r="D3" s="1" t="s">
        <v>10</v>
      </c>
      <c r="E3" s="1" t="s">
        <v>11</v>
      </c>
      <c r="F3" s="1" t="s">
        <v>17</v>
      </c>
    </row>
    <row r="4" spans="1:6" x14ac:dyDescent="0.2">
      <c r="A4" s="1" t="s">
        <v>8</v>
      </c>
      <c r="B4" s="2">
        <v>1</v>
      </c>
      <c r="C4" s="3">
        <f>1/B5</f>
        <v>0.14285714285714285</v>
      </c>
      <c r="D4" s="3">
        <f>1/B6</f>
        <v>0.2</v>
      </c>
      <c r="E4" s="3">
        <f>1/B7</f>
        <v>0.1111111111111111</v>
      </c>
      <c r="F4" s="3">
        <f>1/B8</f>
        <v>0.33333333333333331</v>
      </c>
    </row>
    <row r="5" spans="1:6" x14ac:dyDescent="0.2">
      <c r="A5" s="1" t="s">
        <v>9</v>
      </c>
      <c r="B5" s="2">
        <v>7</v>
      </c>
      <c r="C5" s="2">
        <v>1</v>
      </c>
      <c r="D5" s="2">
        <v>2</v>
      </c>
      <c r="E5" s="2">
        <f>1/C7</f>
        <v>0.5</v>
      </c>
      <c r="F5" s="2">
        <v>3</v>
      </c>
    </row>
    <row r="6" spans="1:6" x14ac:dyDescent="0.2">
      <c r="A6" s="1" t="s">
        <v>10</v>
      </c>
      <c r="B6" s="2">
        <v>5</v>
      </c>
      <c r="C6" s="2">
        <f>1/C7</f>
        <v>0.5</v>
      </c>
      <c r="D6" s="2">
        <v>1</v>
      </c>
      <c r="E6" s="3">
        <f>1/B8</f>
        <v>0.33333333333333331</v>
      </c>
      <c r="F6" s="2">
        <v>2</v>
      </c>
    </row>
    <row r="7" spans="1:6" x14ac:dyDescent="0.2">
      <c r="A7" s="1" t="s">
        <v>11</v>
      </c>
      <c r="B7" s="2">
        <v>9</v>
      </c>
      <c r="C7" s="2">
        <v>2</v>
      </c>
      <c r="D7" s="2">
        <v>3</v>
      </c>
      <c r="E7" s="2">
        <v>1</v>
      </c>
      <c r="F7" s="2">
        <v>5</v>
      </c>
    </row>
    <row r="8" spans="1:6" x14ac:dyDescent="0.2">
      <c r="A8" s="1" t="s">
        <v>17</v>
      </c>
      <c r="B8" s="2">
        <v>3</v>
      </c>
      <c r="C8" s="3">
        <f>1/B8</f>
        <v>0.33333333333333331</v>
      </c>
      <c r="D8" s="2">
        <f>1/C7</f>
        <v>0.5</v>
      </c>
      <c r="E8" s="2">
        <f>1/B6</f>
        <v>0.2</v>
      </c>
      <c r="F8" s="2">
        <v>1</v>
      </c>
    </row>
    <row r="11" spans="1:6" x14ac:dyDescent="0.2">
      <c r="A11" s="4" t="s">
        <v>4</v>
      </c>
      <c r="B11" s="5">
        <f>GEOMEAN(B4:F4)</f>
        <v>0.25404674702328517</v>
      </c>
      <c r="D11" s="6" t="s">
        <v>24</v>
      </c>
      <c r="E11" s="5">
        <f>B11/B16</f>
        <v>3.6845742931968767E-2</v>
      </c>
    </row>
    <row r="12" spans="1:6" x14ac:dyDescent="0.2">
      <c r="A12" s="4" t="s">
        <v>5</v>
      </c>
      <c r="B12" s="5">
        <f t="shared" ref="B12:B15" si="0">GEOMEAN(B5:F5)</f>
        <v>1.838416287252544</v>
      </c>
      <c r="D12" s="6" t="s">
        <v>25</v>
      </c>
      <c r="E12" s="5">
        <f>B12/B16</f>
        <v>0.2666352343249766</v>
      </c>
    </row>
    <row r="13" spans="1:6" x14ac:dyDescent="0.2">
      <c r="A13" s="4" t="s">
        <v>18</v>
      </c>
      <c r="B13" s="5">
        <f t="shared" si="0"/>
        <v>1.1075663432482898</v>
      </c>
      <c r="D13" s="6" t="s">
        <v>26</v>
      </c>
      <c r="E13" s="5">
        <f>B13/B16</f>
        <v>0.16063620275242779</v>
      </c>
    </row>
    <row r="14" spans="1:6" x14ac:dyDescent="0.2">
      <c r="A14" s="4" t="s">
        <v>19</v>
      </c>
      <c r="B14" s="5">
        <f t="shared" si="0"/>
        <v>3.0638870628004051</v>
      </c>
      <c r="D14" s="6" t="s">
        <v>27</v>
      </c>
      <c r="E14" s="5">
        <f>B14/B16</f>
        <v>0.44437174028518972</v>
      </c>
    </row>
    <row r="15" spans="1:6" x14ac:dyDescent="0.2">
      <c r="A15" s="4" t="s">
        <v>20</v>
      </c>
      <c r="B15" s="5">
        <f t="shared" si="0"/>
        <v>0.63095734448019325</v>
      </c>
      <c r="D15" s="6" t="s">
        <v>28</v>
      </c>
      <c r="E15" s="5">
        <f>B15/B16</f>
        <v>9.1511079705437093E-2</v>
      </c>
    </row>
    <row r="16" spans="1:6" x14ac:dyDescent="0.2">
      <c r="A16" s="4" t="s">
        <v>6</v>
      </c>
      <c r="B16" s="5">
        <f>SUM(B11:B15)</f>
        <v>6.8948737848047177</v>
      </c>
    </row>
    <row r="19" spans="1:1" x14ac:dyDescent="0.2">
      <c r="A19" t="s">
        <v>7</v>
      </c>
    </row>
    <row r="20" spans="1:1" x14ac:dyDescent="0.2">
      <c r="A20" t="s">
        <v>30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CADD-A145-9543-83FB-2772DCC2DD74}">
  <dimension ref="A1:F20"/>
  <sheetViews>
    <sheetView workbookViewId="0">
      <selection activeCell="G25" sqref="G25"/>
    </sheetView>
  </sheetViews>
  <sheetFormatPr baseColWidth="10" defaultRowHeight="16" x14ac:dyDescent="0.2"/>
  <sheetData>
    <row r="1" spans="1:6" ht="19" x14ac:dyDescent="0.25">
      <c r="A1" s="8" t="s">
        <v>15</v>
      </c>
    </row>
    <row r="3" spans="1:6" x14ac:dyDescent="0.2">
      <c r="B3" s="1" t="s">
        <v>8</v>
      </c>
      <c r="C3" s="1" t="s">
        <v>9</v>
      </c>
      <c r="D3" s="1" t="s">
        <v>10</v>
      </c>
      <c r="E3" s="1" t="s">
        <v>11</v>
      </c>
      <c r="F3" s="1" t="s">
        <v>17</v>
      </c>
    </row>
    <row r="4" spans="1:6" x14ac:dyDescent="0.2">
      <c r="A4" s="1" t="s">
        <v>8</v>
      </c>
      <c r="B4" s="2">
        <v>1</v>
      </c>
      <c r="C4" s="2">
        <v>1</v>
      </c>
      <c r="D4" s="2">
        <v>7</v>
      </c>
      <c r="E4" s="2">
        <v>9</v>
      </c>
      <c r="F4" s="2">
        <v>5</v>
      </c>
    </row>
    <row r="5" spans="1:6" x14ac:dyDescent="0.2">
      <c r="A5" s="1" t="s">
        <v>9</v>
      </c>
      <c r="B5" s="2">
        <v>1</v>
      </c>
      <c r="C5" s="2">
        <v>1</v>
      </c>
      <c r="D5" s="2">
        <v>7</v>
      </c>
      <c r="E5" s="2">
        <v>9</v>
      </c>
      <c r="F5" s="2">
        <v>5</v>
      </c>
    </row>
    <row r="6" spans="1:6" x14ac:dyDescent="0.2">
      <c r="A6" s="1" t="s">
        <v>10</v>
      </c>
      <c r="B6" s="3">
        <f>1/D4</f>
        <v>0.14285714285714285</v>
      </c>
      <c r="C6" s="3">
        <f>1/D4</f>
        <v>0.14285714285714285</v>
      </c>
      <c r="D6" s="2">
        <v>1</v>
      </c>
      <c r="E6" s="2">
        <v>2</v>
      </c>
      <c r="F6" s="3">
        <f>1/D8</f>
        <v>0.33333333333333331</v>
      </c>
    </row>
    <row r="7" spans="1:6" x14ac:dyDescent="0.2">
      <c r="A7" s="1" t="s">
        <v>11</v>
      </c>
      <c r="B7" s="3">
        <f>1/E4</f>
        <v>0.1111111111111111</v>
      </c>
      <c r="C7" s="3">
        <f>1/E4</f>
        <v>0.1111111111111111</v>
      </c>
      <c r="D7" s="2">
        <f>1/E6</f>
        <v>0.5</v>
      </c>
      <c r="E7" s="2">
        <v>1</v>
      </c>
      <c r="F7" s="2">
        <f>1/E6</f>
        <v>0.5</v>
      </c>
    </row>
    <row r="8" spans="1:6" x14ac:dyDescent="0.2">
      <c r="A8" s="1" t="s">
        <v>17</v>
      </c>
      <c r="B8" s="2">
        <f>1/F4</f>
        <v>0.2</v>
      </c>
      <c r="C8" s="2">
        <f>1/F4</f>
        <v>0.2</v>
      </c>
      <c r="D8" s="2">
        <v>3</v>
      </c>
      <c r="E8" s="2">
        <v>2</v>
      </c>
      <c r="F8" s="2">
        <v>1</v>
      </c>
    </row>
    <row r="11" spans="1:6" x14ac:dyDescent="0.2">
      <c r="A11" s="4" t="s">
        <v>4</v>
      </c>
      <c r="B11" s="5">
        <f>GEOMEAN(B4:F4)</f>
        <v>3.1598183057492712</v>
      </c>
      <c r="D11" s="6" t="s">
        <v>31</v>
      </c>
      <c r="E11" s="5">
        <f>B11/B16</f>
        <v>0.40461624082907666</v>
      </c>
    </row>
    <row r="12" spans="1:6" x14ac:dyDescent="0.2">
      <c r="A12" s="4" t="s">
        <v>5</v>
      </c>
      <c r="B12" s="5">
        <f t="shared" ref="B12:B15" si="0">GEOMEAN(B5:F5)</f>
        <v>3.1598183057492712</v>
      </c>
      <c r="D12" s="6" t="s">
        <v>32</v>
      </c>
      <c r="E12" s="5">
        <f>B12/B16</f>
        <v>0.40461624082907666</v>
      </c>
    </row>
    <row r="13" spans="1:6" x14ac:dyDescent="0.2">
      <c r="A13" s="4" t="s">
        <v>18</v>
      </c>
      <c r="B13" s="5">
        <f t="shared" si="0"/>
        <v>0.42339188732624933</v>
      </c>
      <c r="D13" s="6" t="s">
        <v>33</v>
      </c>
      <c r="E13" s="5">
        <f>B13/B16</f>
        <v>5.4215533069029695E-2</v>
      </c>
    </row>
    <row r="14" spans="1:6" x14ac:dyDescent="0.2">
      <c r="A14" s="4" t="s">
        <v>19</v>
      </c>
      <c r="B14" s="5">
        <f t="shared" si="0"/>
        <v>0.31469583709830062</v>
      </c>
      <c r="D14" s="6" t="s">
        <v>34</v>
      </c>
      <c r="E14" s="5">
        <f>B14/B16</f>
        <v>4.0296952004992115E-2</v>
      </c>
    </row>
    <row r="15" spans="1:6" x14ac:dyDescent="0.2">
      <c r="A15" s="4" t="s">
        <v>20</v>
      </c>
      <c r="B15" s="5">
        <f t="shared" si="0"/>
        <v>0.75169601575301259</v>
      </c>
      <c r="D15" s="6" t="s">
        <v>35</v>
      </c>
      <c r="E15" s="5">
        <f>B15/B16</f>
        <v>9.6255033267824947E-2</v>
      </c>
    </row>
    <row r="16" spans="1:6" x14ac:dyDescent="0.2">
      <c r="A16" s="4" t="s">
        <v>6</v>
      </c>
      <c r="B16" s="5">
        <f>SUM(B11:B15)</f>
        <v>7.8094203516761045</v>
      </c>
    </row>
    <row r="19" spans="1:1" x14ac:dyDescent="0.2">
      <c r="A19" t="s">
        <v>7</v>
      </c>
    </row>
    <row r="20" spans="1:1" x14ac:dyDescent="0.2">
      <c r="A20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3F50-0C02-4641-94BF-B8674A0D6EF4}">
  <dimension ref="A1:K21"/>
  <sheetViews>
    <sheetView tabSelected="1" workbookViewId="0">
      <selection activeCell="J13" sqref="J13"/>
    </sheetView>
  </sheetViews>
  <sheetFormatPr baseColWidth="10" defaultRowHeight="16" x14ac:dyDescent="0.2"/>
  <sheetData>
    <row r="1" spans="1:11" ht="19" x14ac:dyDescent="0.25">
      <c r="A1" s="8" t="s">
        <v>16</v>
      </c>
    </row>
    <row r="3" spans="1:11" x14ac:dyDescent="0.2">
      <c r="B3" s="1" t="s">
        <v>8</v>
      </c>
      <c r="C3" s="1" t="s">
        <v>9</v>
      </c>
      <c r="D3" s="1" t="s">
        <v>10</v>
      </c>
      <c r="E3" s="1" t="s">
        <v>11</v>
      </c>
      <c r="F3" s="1" t="s">
        <v>17</v>
      </c>
    </row>
    <row r="4" spans="1:11" x14ac:dyDescent="0.2">
      <c r="A4" s="1" t="s">
        <v>8</v>
      </c>
      <c r="B4" s="2">
        <v>1</v>
      </c>
      <c r="C4" s="2">
        <v>3</v>
      </c>
      <c r="D4" s="2">
        <v>1</v>
      </c>
      <c r="E4" s="2">
        <v>3</v>
      </c>
      <c r="F4" s="2">
        <v>1</v>
      </c>
    </row>
    <row r="5" spans="1:11" x14ac:dyDescent="0.2">
      <c r="A5" s="1" t="s">
        <v>9</v>
      </c>
      <c r="B5" s="3">
        <f>1/3</f>
        <v>0.33333333333333331</v>
      </c>
      <c r="C5" s="2">
        <v>1</v>
      </c>
      <c r="D5" s="3">
        <f>1/3</f>
        <v>0.33333333333333331</v>
      </c>
      <c r="E5" s="2">
        <v>1</v>
      </c>
      <c r="F5" s="3">
        <f>1/3</f>
        <v>0.33333333333333331</v>
      </c>
    </row>
    <row r="6" spans="1:11" x14ac:dyDescent="0.2">
      <c r="A6" s="1" t="s">
        <v>10</v>
      </c>
      <c r="B6" s="2">
        <v>1</v>
      </c>
      <c r="C6" s="2">
        <v>3</v>
      </c>
      <c r="D6" s="2">
        <v>1</v>
      </c>
      <c r="E6" s="2">
        <v>3</v>
      </c>
      <c r="F6" s="2">
        <v>1</v>
      </c>
    </row>
    <row r="7" spans="1:11" x14ac:dyDescent="0.2">
      <c r="A7" s="1" t="s">
        <v>11</v>
      </c>
      <c r="B7" s="3">
        <f>1/3</f>
        <v>0.33333333333333331</v>
      </c>
      <c r="C7" s="2">
        <v>1</v>
      </c>
      <c r="D7" s="3">
        <f>1/3</f>
        <v>0.33333333333333331</v>
      </c>
      <c r="E7" s="2">
        <v>1</v>
      </c>
      <c r="F7" s="3">
        <f>1/3</f>
        <v>0.33333333333333331</v>
      </c>
    </row>
    <row r="8" spans="1:11" x14ac:dyDescent="0.2">
      <c r="A8" s="1" t="s">
        <v>17</v>
      </c>
      <c r="B8" s="2">
        <v>1</v>
      </c>
      <c r="C8" s="2">
        <v>3</v>
      </c>
      <c r="D8" s="2">
        <v>1</v>
      </c>
      <c r="E8" s="10">
        <v>3</v>
      </c>
      <c r="F8" s="2">
        <v>1</v>
      </c>
    </row>
    <row r="11" spans="1:11" x14ac:dyDescent="0.2">
      <c r="A11" s="4" t="s">
        <v>4</v>
      </c>
      <c r="B11" s="5">
        <f>GEOMEAN(B4:F4)</f>
        <v>1.5518455739153598</v>
      </c>
      <c r="D11" s="6" t="s">
        <v>37</v>
      </c>
      <c r="E11" s="5">
        <f>B11/B16</f>
        <v>0.27272727272727271</v>
      </c>
      <c r="G11" s="6" t="s">
        <v>44</v>
      </c>
      <c r="H11" s="5">
        <f>('Критерий 1'!E11*Критерии!D9)+('Критерий 2'!E11*Критерии!D10)+(E11*Критерии!D11)</f>
        <v>0.27999411367551408</v>
      </c>
      <c r="J11" s="6"/>
      <c r="K11" s="5"/>
    </row>
    <row r="12" spans="1:11" x14ac:dyDescent="0.2">
      <c r="A12" s="4" t="s">
        <v>5</v>
      </c>
      <c r="B12" s="5">
        <f t="shared" ref="B12:B15" si="0">GEOMEAN(B5:F5)</f>
        <v>0.5172818579717865</v>
      </c>
      <c r="D12" s="6" t="s">
        <v>38</v>
      </c>
      <c r="E12" s="5">
        <f>B12/B16</f>
        <v>9.0909090909090884E-2</v>
      </c>
      <c r="G12" s="6" t="s">
        <v>45</v>
      </c>
      <c r="H12" s="5">
        <f>('Критерий 1'!E12*Критерии!D9)+('Критерий 2'!E12*Критерии!D10)+('Критерий 3'!E12*Критерии!D11)</f>
        <v>0.18675592328270421</v>
      </c>
      <c r="J12" s="6"/>
      <c r="K12" s="5"/>
    </row>
    <row r="13" spans="1:11" x14ac:dyDescent="0.2">
      <c r="A13" s="4" t="s">
        <v>18</v>
      </c>
      <c r="B13" s="5">
        <f t="shared" si="0"/>
        <v>1.5518455739153598</v>
      </c>
      <c r="D13" s="6" t="s">
        <v>39</v>
      </c>
      <c r="E13" s="5">
        <f>B13/B16</f>
        <v>0.27272727272727271</v>
      </c>
      <c r="G13" s="6" t="s">
        <v>46</v>
      </c>
      <c r="H13" s="5">
        <f>('Критерий 1'!E13*Критерии!D9)+('Критерий 2'!E13*Критерии!D10)+('Критерий 3'!E13*Критерии!D11)</f>
        <v>0.20706484053095353</v>
      </c>
      <c r="J13" s="6"/>
      <c r="K13" s="5"/>
    </row>
    <row r="14" spans="1:11" x14ac:dyDescent="0.2">
      <c r="A14" s="4" t="s">
        <v>19</v>
      </c>
      <c r="B14" s="5">
        <f t="shared" si="0"/>
        <v>0.5172818579717865</v>
      </c>
      <c r="D14" s="6" t="s">
        <v>40</v>
      </c>
      <c r="E14" s="5">
        <f>B14/B16</f>
        <v>9.0909090909090884E-2</v>
      </c>
      <c r="G14" s="6" t="s">
        <v>47</v>
      </c>
      <c r="H14" s="5">
        <f>('Критерий 1'!E14*Критерии!D9)+('Критерий 2'!E14*Критерии!D10)+('Критерий 3'!E14*Критерии!D11)</f>
        <v>0.11615761166873811</v>
      </c>
      <c r="J14" s="6"/>
      <c r="K14" s="5"/>
    </row>
    <row r="15" spans="1:11" x14ac:dyDescent="0.2">
      <c r="A15" s="4" t="s">
        <v>20</v>
      </c>
      <c r="B15" s="5">
        <f t="shared" si="0"/>
        <v>1.5518455739153598</v>
      </c>
      <c r="D15" s="6" t="s">
        <v>41</v>
      </c>
      <c r="E15" s="5">
        <f>B15/B16</f>
        <v>0.27272727272727271</v>
      </c>
      <c r="G15" s="6" t="s">
        <v>48</v>
      </c>
      <c r="H15" s="5">
        <f>('Критерий 1'!E15*Критерии!D9)+('Критерий 2'!E15*Критерии!D10)+('Критерий 3'!E15*Критерии!D11)</f>
        <v>0.21002751084208998</v>
      </c>
      <c r="J15" s="6"/>
      <c r="K15" s="5"/>
    </row>
    <row r="16" spans="1:11" x14ac:dyDescent="0.2">
      <c r="A16" s="4" t="s">
        <v>6</v>
      </c>
      <c r="B16" s="5">
        <f>SUM(B11:B15)</f>
        <v>5.6901004376896527</v>
      </c>
    </row>
    <row r="19" spans="1:1" x14ac:dyDescent="0.2">
      <c r="A19" t="s">
        <v>7</v>
      </c>
    </row>
    <row r="20" spans="1:1" x14ac:dyDescent="0.2">
      <c r="A20" t="s">
        <v>42</v>
      </c>
    </row>
    <row r="21" spans="1:1" x14ac:dyDescent="0.2">
      <c r="A21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Критерии</vt:lpstr>
      <vt:lpstr>Критерий 1</vt:lpstr>
      <vt:lpstr>Критерий 2</vt:lpstr>
      <vt:lpstr>Критерий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Ulyana Procopuk</dc:creator>
  <cp:lastModifiedBy>Ulyana Procopuk</cp:lastModifiedBy>
  <dcterms:created xsi:type="dcterms:W3CDTF">2024-10-19T13:57:14Z</dcterms:created>
  <dcterms:modified xsi:type="dcterms:W3CDTF">2024-10-20T15:38:23Z</dcterms:modified>
</cp:coreProperties>
</file>