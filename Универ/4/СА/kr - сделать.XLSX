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4455" yWindow="900" windowWidth="21540" windowHeight="1572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H32" i="1"/>
  <c r="H31" i="1"/>
  <c r="B35" i="1" l="1"/>
  <c r="B34" i="1"/>
  <c r="M15" i="1"/>
  <c r="C15" i="1" s="1"/>
  <c r="M9" i="1"/>
  <c r="E7" i="1"/>
  <c r="K15" i="1"/>
  <c r="D13" i="1" s="1"/>
  <c r="L15" i="1"/>
  <c r="C14" i="1" s="1"/>
  <c r="F6" i="1"/>
  <c r="F5" i="1"/>
  <c r="B5" i="1" l="1"/>
  <c r="D14" i="1"/>
  <c r="B14" i="1"/>
  <c r="E35" i="1"/>
  <c r="B37" i="1" s="1"/>
  <c r="B13" i="1"/>
  <c r="C13" i="1"/>
  <c r="B15" i="1"/>
  <c r="D15" i="1"/>
  <c r="F7" i="1"/>
  <c r="C7" i="1"/>
  <c r="D7" i="1"/>
  <c r="B7" i="1"/>
  <c r="B6" i="1"/>
  <c r="D6" i="1"/>
  <c r="E6" i="1"/>
  <c r="C5" i="1"/>
  <c r="C6" i="1"/>
  <c r="D5" i="1"/>
  <c r="E5" i="1"/>
  <c r="B18" i="1" l="1"/>
  <c r="E18" i="1" s="1"/>
  <c r="D9" i="1"/>
  <c r="C9" i="1"/>
  <c r="E9" i="1"/>
  <c r="F9" i="1"/>
  <c r="B9" i="1"/>
  <c r="E34" i="1" l="1"/>
  <c r="B20" i="1"/>
  <c r="E20" i="1" s="1"/>
  <c r="B19" i="1"/>
  <c r="E19" i="1" s="1"/>
  <c r="B38" i="1" l="1"/>
  <c r="B39" i="1" s="1"/>
  <c r="E21" i="1"/>
  <c r="H18" i="1" s="1"/>
  <c r="B25" i="1" s="1"/>
  <c r="D25" i="1" l="1"/>
  <c r="C25" i="1"/>
  <c r="H20" i="1"/>
  <c r="H19" i="1"/>
  <c r="D27" i="1" l="1"/>
  <c r="C27" i="1"/>
  <c r="B27" i="1"/>
  <c r="B26" i="1"/>
  <c r="C26" i="1"/>
  <c r="D26" i="1"/>
  <c r="G26" i="1" l="1"/>
  <c r="G25" i="1"/>
  <c r="G27" i="1"/>
</calcChain>
</file>

<file path=xl/sharedStrings.xml><?xml version="1.0" encoding="utf-8"?>
<sst xmlns="http://schemas.openxmlformats.org/spreadsheetml/2006/main" count="70" uniqueCount="42">
  <si>
    <t>Безразмерные оценки альтернатив</t>
  </si>
  <si>
    <t>P0=</t>
  </si>
  <si>
    <t>R1=</t>
  </si>
  <si>
    <t>R2=</t>
  </si>
  <si>
    <t>Взвешенные безразмерные оценки альтернатив</t>
  </si>
  <si>
    <t>E1=</t>
  </si>
  <si>
    <t>E2=</t>
  </si>
  <si>
    <t>E3=</t>
  </si>
  <si>
    <t>V1=</t>
  </si>
  <si>
    <t>V2=</t>
  </si>
  <si>
    <t>S1=</t>
  </si>
  <si>
    <t>S2=</t>
  </si>
  <si>
    <t>C1=</t>
  </si>
  <si>
    <t>C2=</t>
  </si>
  <si>
    <t>D1=</t>
  </si>
  <si>
    <t>D2=</t>
  </si>
  <si>
    <t>D=</t>
  </si>
  <si>
    <t>P</t>
  </si>
  <si>
    <t>&lt;1</t>
  </si>
  <si>
    <t>Ермоленко Артём Алексеевич 150541 Вариант 6</t>
  </si>
  <si>
    <t>К1</t>
  </si>
  <si>
    <t>К2</t>
  </si>
  <si>
    <t>К3</t>
  </si>
  <si>
    <t>П1</t>
  </si>
  <si>
    <t>П2</t>
  </si>
  <si>
    <t>П3</t>
  </si>
  <si>
    <t>П5</t>
  </si>
  <si>
    <t>П6</t>
  </si>
  <si>
    <t>%</t>
  </si>
  <si>
    <t>Цена</t>
  </si>
  <si>
    <t>Надежность</t>
  </si>
  <si>
    <t>P1</t>
  </si>
  <si>
    <t>P2</t>
  </si>
  <si>
    <t>P3</t>
  </si>
  <si>
    <t>R1</t>
  </si>
  <si>
    <t>R2</t>
  </si>
  <si>
    <t>R3</t>
  </si>
  <si>
    <t>R</t>
  </si>
  <si>
    <t>W1</t>
  </si>
  <si>
    <t>W2</t>
  </si>
  <si>
    <t>W3</t>
  </si>
  <si>
    <t>П6 лучше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</si>
</sst>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zoomScale="106" workbookViewId="0">
      <selection activeCell="I11" sqref="I11"/>
    </sheetView>
  </sheetViews>
  <sheetFormatPr defaultColWidth="8.85546875" defaultRowHeight="15" x14ac:dyDescent="0.25"/>
  <cols>
    <col min="5" max="5" width="12.7109375" bestFit="1" customWidth="1"/>
  </cols>
  <sheetData>
    <row r="1" spans="1:13" ht="18.75" x14ac:dyDescent="0.3">
      <c r="A1" s="1" t="s">
        <v>19</v>
      </c>
    </row>
    <row r="3" spans="1:13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8" t="s">
        <v>28</v>
      </c>
      <c r="L3" s="8" t="s">
        <v>29</v>
      </c>
      <c r="M3" s="11" t="s">
        <v>30</v>
      </c>
    </row>
    <row r="4" spans="1:13" ht="18.75" x14ac:dyDescent="0.3">
      <c r="A4" s="1"/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1"/>
      <c r="H4" s="1"/>
      <c r="I4" s="1"/>
      <c r="J4" s="2" t="s">
        <v>23</v>
      </c>
      <c r="K4" s="1">
        <v>12</v>
      </c>
      <c r="L4" s="1">
        <v>200</v>
      </c>
      <c r="M4" s="1">
        <v>2</v>
      </c>
    </row>
    <row r="5" spans="1:13" ht="18.75" x14ac:dyDescent="0.3">
      <c r="A5" s="3" t="s">
        <v>20</v>
      </c>
      <c r="B5" s="4">
        <f>K12/$K$9</f>
        <v>0.6</v>
      </c>
      <c r="C5" s="4">
        <f>K5/$K$9</f>
        <v>0.6</v>
      </c>
      <c r="D5" s="4">
        <f>K6/$K$9</f>
        <v>1</v>
      </c>
      <c r="E5" s="4">
        <f>K7/$K$9</f>
        <v>0.46666666666666667</v>
      </c>
      <c r="F5" s="4">
        <f>K8/$K$9</f>
        <v>0.66666666666666663</v>
      </c>
      <c r="G5" s="1"/>
      <c r="H5" s="1"/>
      <c r="I5" s="1"/>
      <c r="J5" s="2" t="s">
        <v>24</v>
      </c>
      <c r="K5" s="1">
        <v>9</v>
      </c>
      <c r="L5" s="1">
        <v>120</v>
      </c>
      <c r="M5" s="1">
        <v>4</v>
      </c>
    </row>
    <row r="6" spans="1:13" ht="18.75" x14ac:dyDescent="0.3">
      <c r="A6" s="3" t="s">
        <v>21</v>
      </c>
      <c r="B6" s="4">
        <f>$L$9/L4</f>
        <v>0.5</v>
      </c>
      <c r="C6" s="4">
        <f>$L$9/L5</f>
        <v>0.83333333333333337</v>
      </c>
      <c r="D6" s="4">
        <f>$L$9/L6</f>
        <v>0.45454545454545453</v>
      </c>
      <c r="E6" s="4">
        <f>$L$9/L7</f>
        <v>1</v>
      </c>
      <c r="F6" s="4">
        <f>$L$9/L8</f>
        <v>0.7142857142857143</v>
      </c>
      <c r="G6" s="1"/>
      <c r="H6" s="1"/>
      <c r="I6" s="1"/>
      <c r="J6" s="2" t="s">
        <v>25</v>
      </c>
      <c r="K6" s="1">
        <v>15</v>
      </c>
      <c r="L6" s="1">
        <v>220</v>
      </c>
      <c r="M6" s="1">
        <v>5</v>
      </c>
    </row>
    <row r="7" spans="1:13" ht="18.75" x14ac:dyDescent="0.3">
      <c r="A7" s="3" t="s">
        <v>22</v>
      </c>
      <c r="B7" s="4">
        <f>M4/$M$9</f>
        <v>0.4</v>
      </c>
      <c r="C7" s="4">
        <f>M5/$M$9</f>
        <v>0.8</v>
      </c>
      <c r="D7" s="4">
        <f>M6/$M$9</f>
        <v>1</v>
      </c>
      <c r="E7" s="4">
        <f>M7/$M$9</f>
        <v>0.8</v>
      </c>
      <c r="F7" s="4">
        <f>M8/$M$9</f>
        <v>0.8</v>
      </c>
      <c r="G7" s="1"/>
      <c r="H7" s="1"/>
      <c r="I7" s="1"/>
      <c r="J7" s="2" t="s">
        <v>26</v>
      </c>
      <c r="K7" s="1">
        <v>7</v>
      </c>
      <c r="L7" s="1">
        <v>100</v>
      </c>
      <c r="M7" s="1">
        <v>4</v>
      </c>
    </row>
    <row r="8" spans="1:13" ht="18.75" x14ac:dyDescent="0.3">
      <c r="A8" s="1"/>
      <c r="B8" s="1"/>
      <c r="C8" s="1"/>
      <c r="D8" s="1"/>
      <c r="E8" s="1"/>
      <c r="F8" s="1"/>
      <c r="G8" s="1"/>
      <c r="H8" s="1"/>
      <c r="I8" s="1"/>
      <c r="J8" s="2" t="s">
        <v>27</v>
      </c>
      <c r="K8" s="1">
        <v>10</v>
      </c>
      <c r="L8" s="1">
        <v>140</v>
      </c>
      <c r="M8" s="1">
        <v>4</v>
      </c>
    </row>
    <row r="9" spans="1:13" ht="18.75" x14ac:dyDescent="0.3">
      <c r="A9" s="3" t="s">
        <v>17</v>
      </c>
      <c r="B9" s="4">
        <f>MIN(B5:B7)</f>
        <v>0.4</v>
      </c>
      <c r="C9" s="4">
        <f t="shared" ref="C9:F9" si="0">MIN(C5:C7)</f>
        <v>0.6</v>
      </c>
      <c r="D9" s="4">
        <f>MIN(D5:D7)</f>
        <v>0.45454545454545453</v>
      </c>
      <c r="E9" s="4">
        <f t="shared" si="0"/>
        <v>0.46666666666666667</v>
      </c>
      <c r="F9" s="4">
        <f t="shared" si="0"/>
        <v>0.66666666666666663</v>
      </c>
      <c r="G9" s="1"/>
      <c r="H9" s="3" t="s">
        <v>1</v>
      </c>
      <c r="I9" s="5">
        <v>0.44</v>
      </c>
      <c r="J9" s="2"/>
      <c r="K9" s="1">
        <f>MAX(K4:K8)</f>
        <v>15</v>
      </c>
      <c r="L9" s="1">
        <f>MIN(L4:L8)</f>
        <v>100</v>
      </c>
      <c r="M9" s="1">
        <f>MAX(M4:M8)</f>
        <v>5</v>
      </c>
    </row>
    <row r="10" spans="1:13" ht="18.7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0"/>
    </row>
    <row r="11" spans="1:13" ht="18.75" x14ac:dyDescent="0.3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8" t="s">
        <v>28</v>
      </c>
      <c r="L11" s="8" t="s">
        <v>29</v>
      </c>
      <c r="M11" s="11" t="s">
        <v>30</v>
      </c>
    </row>
    <row r="12" spans="1:13" ht="18.75" x14ac:dyDescent="0.3">
      <c r="A12" s="1"/>
      <c r="B12" s="2" t="s">
        <v>24</v>
      </c>
      <c r="C12" s="2" t="s">
        <v>26</v>
      </c>
      <c r="D12" s="2" t="s">
        <v>27</v>
      </c>
      <c r="E12" s="1"/>
      <c r="F12" s="1"/>
      <c r="G12" s="1"/>
      <c r="H12" s="1"/>
      <c r="I12" s="1"/>
      <c r="J12" s="2" t="s">
        <v>24</v>
      </c>
      <c r="K12" s="1">
        <v>9</v>
      </c>
      <c r="L12" s="1">
        <v>120</v>
      </c>
      <c r="M12" s="1">
        <v>5</v>
      </c>
    </row>
    <row r="13" spans="1:13" ht="18.75" x14ac:dyDescent="0.3">
      <c r="A13" s="3" t="s">
        <v>20</v>
      </c>
      <c r="B13" s="4">
        <f>K12/$K$15</f>
        <v>0.9</v>
      </c>
      <c r="C13" s="4">
        <f>K13/$K$15</f>
        <v>0.7</v>
      </c>
      <c r="D13" s="4">
        <f>K14/$K$15</f>
        <v>1</v>
      </c>
      <c r="E13" s="1"/>
      <c r="F13" s="1"/>
      <c r="G13" s="1"/>
      <c r="H13" s="1"/>
      <c r="I13" s="1"/>
      <c r="J13" s="2" t="s">
        <v>26</v>
      </c>
      <c r="K13" s="1">
        <v>7</v>
      </c>
      <c r="L13" s="1">
        <v>100</v>
      </c>
      <c r="M13" s="1">
        <v>5</v>
      </c>
    </row>
    <row r="14" spans="1:13" ht="18.75" x14ac:dyDescent="0.3">
      <c r="A14" s="3" t="s">
        <v>21</v>
      </c>
      <c r="B14" s="4">
        <f>$L$15/L12</f>
        <v>0.83333333333333337</v>
      </c>
      <c r="C14" s="4">
        <f>$L$15/L13</f>
        <v>1</v>
      </c>
      <c r="D14" s="4">
        <f>$L$15/L14</f>
        <v>0.7142857142857143</v>
      </c>
      <c r="E14" s="1"/>
      <c r="F14" s="1"/>
      <c r="G14" s="1"/>
      <c r="H14" s="1"/>
      <c r="I14" s="1"/>
      <c r="J14" s="2" t="s">
        <v>27</v>
      </c>
      <c r="K14" s="1">
        <v>10</v>
      </c>
      <c r="L14" s="1">
        <v>140</v>
      </c>
      <c r="M14" s="1">
        <v>5</v>
      </c>
    </row>
    <row r="15" spans="1:13" ht="18.75" x14ac:dyDescent="0.3">
      <c r="A15" s="3" t="s">
        <v>22</v>
      </c>
      <c r="B15" s="4">
        <f>M12/$M$15</f>
        <v>1</v>
      </c>
      <c r="C15" s="4">
        <f>M13/$M$15</f>
        <v>1</v>
      </c>
      <c r="D15" s="4">
        <f>M14/M15</f>
        <v>1</v>
      </c>
      <c r="E15" s="1"/>
      <c r="F15" s="1"/>
      <c r="G15" s="1"/>
      <c r="H15" s="1"/>
      <c r="I15" s="1"/>
      <c r="J15" s="2"/>
      <c r="K15" s="1">
        <f>MAX(K12:K14)</f>
        <v>10</v>
      </c>
      <c r="L15" s="1">
        <f>MIN(L12:L14)</f>
        <v>100</v>
      </c>
      <c r="M15" s="1">
        <f>MAX(M12:M14)</f>
        <v>5</v>
      </c>
    </row>
    <row r="16" spans="1:13" ht="18.7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0"/>
    </row>
    <row r="17" spans="1:11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0"/>
    </row>
    <row r="18" spans="1:11" ht="18.75" x14ac:dyDescent="0.3">
      <c r="A18" s="2" t="s">
        <v>31</v>
      </c>
      <c r="B18" s="6">
        <f>SUM(B13:D13)/3</f>
        <v>0.8666666666666667</v>
      </c>
      <c r="C18" s="1"/>
      <c r="D18" s="2" t="s">
        <v>34</v>
      </c>
      <c r="E18" s="6">
        <f>(ABS(B13-B18)+ABS(C13-B18)+ABS(D13-B18))/(3*B18)</f>
        <v>0.12820512820512822</v>
      </c>
      <c r="F18" s="1"/>
      <c r="G18" s="2" t="s">
        <v>38</v>
      </c>
      <c r="H18" s="6">
        <f>E18/$E$21</f>
        <v>0.51992225461613228</v>
      </c>
      <c r="I18" s="1"/>
      <c r="J18" s="1"/>
      <c r="K18" s="10"/>
    </row>
    <row r="19" spans="1:11" ht="18.75" x14ac:dyDescent="0.3">
      <c r="A19" s="2" t="s">
        <v>32</v>
      </c>
      <c r="B19" s="6">
        <f>SUM(B14:D14)/3</f>
        <v>0.8492063492063493</v>
      </c>
      <c r="C19" s="1"/>
      <c r="D19" s="2" t="s">
        <v>35</v>
      </c>
      <c r="E19" s="6">
        <f>(ABS(B14-B19)+ABS(C14-B19)+ABS(D14-B19))/(3*B19)</f>
        <v>0.11838006230529595</v>
      </c>
      <c r="F19" s="1"/>
      <c r="G19" s="2" t="s">
        <v>39</v>
      </c>
      <c r="H19" s="6">
        <f>E19/$E$21</f>
        <v>0.48007774538386783</v>
      </c>
      <c r="I19" s="1"/>
      <c r="J19" s="1"/>
      <c r="K19" s="10"/>
    </row>
    <row r="20" spans="1:11" ht="18.75" x14ac:dyDescent="0.3">
      <c r="A20" s="2" t="s">
        <v>33</v>
      </c>
      <c r="B20" s="6">
        <f>SUM(B15:D15)/3</f>
        <v>1</v>
      </c>
      <c r="C20" s="1"/>
      <c r="D20" s="2" t="s">
        <v>36</v>
      </c>
      <c r="E20" s="6">
        <f>(ABS(B15-B20)+ABS(C15-B20)+ABS(D15-B20))/(3*B20)</f>
        <v>0</v>
      </c>
      <c r="F20" s="1"/>
      <c r="G20" s="2" t="s">
        <v>40</v>
      </c>
      <c r="H20" s="6">
        <f>E20/$E$21</f>
        <v>0</v>
      </c>
      <c r="I20" s="1"/>
      <c r="J20" s="1"/>
      <c r="K20" s="10"/>
    </row>
    <row r="21" spans="1:11" ht="18.75" x14ac:dyDescent="0.3">
      <c r="A21" s="3"/>
      <c r="B21" s="1"/>
      <c r="C21" s="1"/>
      <c r="D21" s="2" t="s">
        <v>37</v>
      </c>
      <c r="E21" s="6">
        <f>SUM(E18:E20)</f>
        <v>0.24658519051042416</v>
      </c>
      <c r="F21" s="1"/>
      <c r="G21" s="1"/>
      <c r="H21" s="1"/>
      <c r="I21" s="1"/>
      <c r="J21" s="1"/>
      <c r="K21" s="10"/>
    </row>
    <row r="22" spans="1:11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0"/>
    </row>
    <row r="23" spans="1:11" ht="18.75" x14ac:dyDescent="0.3">
      <c r="A23" s="1" t="s">
        <v>4</v>
      </c>
      <c r="B23" s="1"/>
      <c r="C23" s="1"/>
      <c r="D23" s="1"/>
      <c r="E23" s="1"/>
      <c r="F23" s="1"/>
      <c r="G23" s="1"/>
      <c r="H23" s="1"/>
      <c r="I23" s="1"/>
      <c r="J23" s="1"/>
      <c r="K23" s="10"/>
    </row>
    <row r="24" spans="1:11" ht="18.75" x14ac:dyDescent="0.3">
      <c r="A24" s="1"/>
      <c r="B24" s="2" t="s">
        <v>24</v>
      </c>
      <c r="C24" s="2" t="s">
        <v>26</v>
      </c>
      <c r="D24" s="2" t="s">
        <v>27</v>
      </c>
      <c r="E24" s="1"/>
      <c r="F24" s="1"/>
      <c r="G24" s="1"/>
      <c r="J24" s="1"/>
      <c r="K24" s="10"/>
    </row>
    <row r="25" spans="1:11" ht="18.75" x14ac:dyDescent="0.3">
      <c r="A25" s="3" t="s">
        <v>20</v>
      </c>
      <c r="B25" s="7">
        <f>$H$18/B13</f>
        <v>0.5776913940179248</v>
      </c>
      <c r="C25" s="7">
        <f t="shared" ref="C25:D25" si="1">$H$18/C13</f>
        <v>0.74274607802304615</v>
      </c>
      <c r="D25" s="7">
        <f t="shared" si="1"/>
        <v>0.51992225461613228</v>
      </c>
      <c r="E25" s="1"/>
      <c r="F25" s="3" t="s">
        <v>5</v>
      </c>
      <c r="G25" s="6">
        <f>SUM(B25:B27)</f>
        <v>1.1537846884785661</v>
      </c>
      <c r="J25" s="1"/>
      <c r="K25" s="10"/>
    </row>
    <row r="26" spans="1:11" ht="18.75" x14ac:dyDescent="0.3">
      <c r="A26" s="3" t="s">
        <v>21</v>
      </c>
      <c r="B26" s="7">
        <f>$H$19/B14</f>
        <v>0.57609329446064139</v>
      </c>
      <c r="C26" s="7">
        <f t="shared" ref="C26:D26" si="2">$H$19/C14</f>
        <v>0.48007774538386783</v>
      </c>
      <c r="D26" s="7">
        <f t="shared" si="2"/>
        <v>0.67210884353741496</v>
      </c>
      <c r="E26" s="1"/>
      <c r="F26" s="3" t="s">
        <v>6</v>
      </c>
      <c r="G26" s="6">
        <f>SUM(C25:C27)</f>
        <v>1.222823823406914</v>
      </c>
      <c r="J26" s="1"/>
      <c r="K26" s="10"/>
    </row>
    <row r="27" spans="1:11" ht="18.75" x14ac:dyDescent="0.3">
      <c r="A27" s="3" t="s">
        <v>22</v>
      </c>
      <c r="B27" s="7">
        <f>$H$20/B15</f>
        <v>0</v>
      </c>
      <c r="C27" s="7">
        <f>$H$20/C15</f>
        <v>0</v>
      </c>
      <c r="D27" s="7">
        <f>$H$20/D15</f>
        <v>0</v>
      </c>
      <c r="E27" s="1"/>
      <c r="F27" s="3" t="s">
        <v>7</v>
      </c>
      <c r="G27" s="6">
        <f>SUM(D25:D27)</f>
        <v>1.1920310981535471</v>
      </c>
      <c r="J27" s="1"/>
      <c r="K27" s="10"/>
    </row>
    <row r="28" spans="1:11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0"/>
    </row>
    <row r="29" spans="1:11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0"/>
    </row>
    <row r="30" spans="1:11" ht="18.75" x14ac:dyDescent="0.3">
      <c r="A30" s="1"/>
      <c r="B30" s="2" t="s">
        <v>24</v>
      </c>
      <c r="C30" s="2" t="s">
        <v>27</v>
      </c>
      <c r="D30" s="1"/>
      <c r="E30" s="1"/>
      <c r="F30" s="1"/>
      <c r="G30" s="1"/>
      <c r="H30" s="1"/>
      <c r="I30" s="1"/>
      <c r="J30" s="1"/>
      <c r="K30" s="10"/>
    </row>
    <row r="31" spans="1:11" ht="18.75" x14ac:dyDescent="0.3">
      <c r="A31" s="3" t="s">
        <v>20</v>
      </c>
      <c r="B31" s="8">
        <v>9</v>
      </c>
      <c r="C31" s="8">
        <v>10</v>
      </c>
      <c r="D31" s="1"/>
      <c r="E31" s="3" t="s">
        <v>2</v>
      </c>
      <c r="F31" s="5">
        <v>1</v>
      </c>
      <c r="G31" s="3" t="s">
        <v>8</v>
      </c>
      <c r="H31" s="5">
        <f>2+1-F31</f>
        <v>2</v>
      </c>
      <c r="I31" s="1"/>
      <c r="J31" s="1"/>
      <c r="K31" s="10"/>
    </row>
    <row r="32" spans="1:11" ht="18.75" x14ac:dyDescent="0.3">
      <c r="A32" s="3" t="s">
        <v>21</v>
      </c>
      <c r="B32" s="8">
        <v>120</v>
      </c>
      <c r="C32" s="8">
        <v>140</v>
      </c>
      <c r="D32" s="1"/>
      <c r="E32" s="3" t="s">
        <v>3</v>
      </c>
      <c r="F32" s="5">
        <v>2</v>
      </c>
      <c r="G32" s="3" t="s">
        <v>9</v>
      </c>
      <c r="H32" s="5">
        <f>2+1-F32</f>
        <v>1</v>
      </c>
      <c r="I32" s="1"/>
      <c r="J32" s="1"/>
      <c r="K32" s="10"/>
    </row>
    <row r="33" spans="1:11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0"/>
    </row>
    <row r="34" spans="1:11" ht="18.75" x14ac:dyDescent="0.3">
      <c r="A34" s="3" t="s">
        <v>10</v>
      </c>
      <c r="B34" s="9">
        <f>MAX(B31:C31)/MIN(B31:C31)</f>
        <v>1.1111111111111112</v>
      </c>
      <c r="C34" s="1"/>
      <c r="D34" s="3" t="s">
        <v>12</v>
      </c>
      <c r="E34" s="9">
        <f>B34^H31</f>
        <v>1.2345679012345681</v>
      </c>
      <c r="I34" s="1"/>
      <c r="J34" s="1"/>
      <c r="K34" s="10"/>
    </row>
    <row r="35" spans="1:11" ht="18.75" x14ac:dyDescent="0.3">
      <c r="A35" s="3" t="s">
        <v>11</v>
      </c>
      <c r="B35" s="9">
        <f>MAX(B32:C32)/MIN(B32:C32)</f>
        <v>1.1666666666666667</v>
      </c>
      <c r="C35" s="1"/>
      <c r="D35" s="3" t="s">
        <v>13</v>
      </c>
      <c r="E35" s="9">
        <f>B35^H32</f>
        <v>1.1666666666666667</v>
      </c>
      <c r="I35" s="1"/>
      <c r="J35" s="1"/>
      <c r="K35" s="10"/>
    </row>
    <row r="36" spans="1:11" ht="18.75" x14ac:dyDescent="0.3">
      <c r="A36" s="1"/>
      <c r="B36" s="1"/>
      <c r="C36" s="1"/>
      <c r="D36" s="1"/>
      <c r="E36" s="1"/>
      <c r="I36" s="1"/>
      <c r="J36" s="1"/>
      <c r="K36" s="10"/>
    </row>
    <row r="37" spans="1:11" ht="18.75" x14ac:dyDescent="0.3">
      <c r="A37" s="3" t="s">
        <v>14</v>
      </c>
      <c r="B37" s="9">
        <f>E35</f>
        <v>1.1666666666666667</v>
      </c>
      <c r="C37" s="1"/>
      <c r="D37" s="1"/>
      <c r="E37" s="1"/>
      <c r="F37" s="1"/>
      <c r="G37" s="1"/>
      <c r="H37" s="1"/>
      <c r="I37" s="1"/>
      <c r="J37" s="1"/>
      <c r="K37" s="10"/>
    </row>
    <row r="38" spans="1:11" ht="18.75" x14ac:dyDescent="0.3">
      <c r="A38" s="3" t="s">
        <v>15</v>
      </c>
      <c r="B38" s="9">
        <f>E34</f>
        <v>1.2345679012345681</v>
      </c>
      <c r="C38" s="1"/>
      <c r="D38" s="1"/>
      <c r="E38" s="1"/>
      <c r="F38" s="1"/>
      <c r="G38" s="1"/>
      <c r="H38" s="1"/>
      <c r="I38" s="1"/>
      <c r="J38" s="1"/>
      <c r="K38" s="10"/>
    </row>
    <row r="39" spans="1:11" ht="18.75" x14ac:dyDescent="0.3">
      <c r="A39" s="3" t="s">
        <v>16</v>
      </c>
      <c r="B39" s="9">
        <f>B37/B38</f>
        <v>0.94499999999999995</v>
      </c>
      <c r="C39" s="3" t="s">
        <v>18</v>
      </c>
      <c r="D39" s="1" t="s">
        <v>41</v>
      </c>
      <c r="E39" s="1"/>
      <c r="F39" s="1"/>
      <c r="G39" s="1"/>
      <c r="H39" s="1"/>
      <c r="I39" s="1"/>
      <c r="J39" s="1"/>
      <c r="K39" s="10"/>
    </row>
    <row r="40" spans="1:11" ht="18.75" x14ac:dyDescent="0.3">
      <c r="F40" s="1"/>
      <c r="G40" s="1"/>
      <c r="H40" s="1"/>
      <c r="I40" s="1"/>
      <c r="J40" s="1"/>
      <c r="K40" s="10"/>
    </row>
    <row r="41" spans="1:11" ht="18.75" x14ac:dyDescent="0.3">
      <c r="F41" s="1"/>
      <c r="G41" s="1"/>
      <c r="H41" s="1"/>
      <c r="I41" s="1"/>
      <c r="J41" s="1"/>
      <c r="K41" s="10"/>
    </row>
    <row r="42" spans="1:11" ht="18.75" x14ac:dyDescent="0.3">
      <c r="F42" s="1"/>
      <c r="G42" s="1"/>
      <c r="H42" s="1"/>
      <c r="I42" s="1"/>
      <c r="J42" s="1"/>
      <c r="K42" s="10"/>
    </row>
    <row r="43" spans="1:11" ht="18.75" x14ac:dyDescent="0.3">
      <c r="F43" s="1"/>
      <c r="G43" s="1"/>
      <c r="H43" s="1"/>
      <c r="I43" s="1"/>
      <c r="J43" s="1"/>
      <c r="K43" s="10"/>
    </row>
    <row r="44" spans="1:11" ht="18.75" x14ac:dyDescent="0.3">
      <c r="F44" s="1"/>
      <c r="G44" s="1"/>
      <c r="H44" s="1"/>
      <c r="I44" s="1"/>
    </row>
    <row r="45" spans="1:11" ht="18.75" x14ac:dyDescent="0.3">
      <c r="F45" s="1"/>
      <c r="G45" s="1"/>
      <c r="H45" s="1"/>
      <c r="I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2024-11-08T22:09:26Z</dcterms:modified>
</cp:coreProperties>
</file>