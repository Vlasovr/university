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ртем\Desktop\Ромчик\"/>
    </mc:Choice>
  </mc:AlternateContent>
  <bookViews>
    <workbookView xWindow="0" yWindow="30" windowWidth="22980" windowHeight="9555" tabRatio="369" activeTab="2"/>
  </bookViews>
  <sheets>
    <sheet name="Саати" sheetId="1" r:id="rId1"/>
    <sheet name="Предпочтений" sheetId="2" r:id="rId2"/>
    <sheet name="Ранг" sheetId="3" r:id="rId3"/>
  </sheets>
  <calcPr calcId="162913"/>
</workbook>
</file>

<file path=xl/calcChain.xml><?xml version="1.0" encoding="utf-8"?>
<calcChain xmlns="http://schemas.openxmlformats.org/spreadsheetml/2006/main">
  <c r="E13" i="3" l="1"/>
  <c r="H13" i="3"/>
  <c r="I28" i="2"/>
  <c r="I25" i="2"/>
  <c r="C25" i="1"/>
  <c r="A19" i="1"/>
  <c r="H2" i="1"/>
  <c r="I20" i="2" l="1"/>
  <c r="B7" i="3" l="1"/>
  <c r="B13" i="3" s="1"/>
  <c r="B8" i="3"/>
  <c r="B14" i="3" s="1"/>
  <c r="H14" i="3" s="1"/>
  <c r="B9" i="3"/>
  <c r="B15" i="3" s="1"/>
  <c r="B10" i="3"/>
  <c r="B11" i="3" l="1"/>
  <c r="F9" i="3" s="1"/>
  <c r="B16" i="3"/>
  <c r="H16" i="3" s="1"/>
  <c r="H15" i="3"/>
  <c r="F8" i="3" l="1"/>
  <c r="F7" i="3"/>
  <c r="F10" i="3"/>
  <c r="E15" i="3"/>
  <c r="E14" i="3"/>
  <c r="D15" i="2" l="1"/>
  <c r="C17" i="2"/>
  <c r="C15" i="2"/>
  <c r="B17" i="2"/>
  <c r="B16" i="2"/>
  <c r="B15" i="2"/>
  <c r="E17" i="2"/>
  <c r="E16" i="2"/>
  <c r="E15" i="2"/>
  <c r="B23" i="2" s="1"/>
  <c r="I23" i="2"/>
  <c r="I22" i="2"/>
  <c r="I21" i="2"/>
  <c r="B4" i="1"/>
  <c r="C6" i="1"/>
  <c r="C4" i="1"/>
  <c r="D4" i="1"/>
  <c r="I26" i="2" l="1"/>
  <c r="D17" i="2"/>
  <c r="C16" i="2"/>
  <c r="D16" i="2"/>
  <c r="B21" i="2"/>
  <c r="B20" i="2"/>
  <c r="B5" i="1"/>
  <c r="E4" i="1"/>
  <c r="C5" i="1"/>
  <c r="D5" i="1"/>
  <c r="E5" i="1"/>
  <c r="B6" i="1"/>
  <c r="D6" i="1"/>
  <c r="E6" i="1"/>
  <c r="B7" i="1"/>
  <c r="C7" i="1"/>
  <c r="D7" i="1"/>
  <c r="E7" i="1"/>
  <c r="B22" i="2" l="1"/>
  <c r="B25" i="2"/>
  <c r="F23" i="2" s="1"/>
  <c r="H4" i="1"/>
  <c r="B19" i="1"/>
  <c r="D19" i="1"/>
  <c r="H5" i="1"/>
  <c r="H3" i="1"/>
  <c r="H7" i="1" s="1"/>
  <c r="C19" i="1"/>
  <c r="F20" i="2" l="1"/>
  <c r="F21" i="2"/>
  <c r="F22" i="2"/>
  <c r="K2" i="1"/>
  <c r="K4" i="1" l="1"/>
  <c r="K3" i="1"/>
  <c r="K5" i="1"/>
  <c r="A22" i="1" l="1"/>
  <c r="C22" i="1" s="1"/>
</calcChain>
</file>

<file path=xl/sharedStrings.xml><?xml version="1.0" encoding="utf-8"?>
<sst xmlns="http://schemas.openxmlformats.org/spreadsheetml/2006/main" count="119" uniqueCount="70">
  <si>
    <t>А1</t>
  </si>
  <si>
    <t>A2</t>
  </si>
  <si>
    <t>A3</t>
  </si>
  <si>
    <t>A4</t>
  </si>
  <si>
    <t>А2</t>
  </si>
  <si>
    <t>А3</t>
  </si>
  <si>
    <t>А4</t>
  </si>
  <si>
    <t>A1</t>
  </si>
  <si>
    <t>C1</t>
  </si>
  <si>
    <t>C2</t>
  </si>
  <si>
    <t>C3</t>
  </si>
  <si>
    <t>C4</t>
  </si>
  <si>
    <t>С</t>
  </si>
  <si>
    <t>V1</t>
  </si>
  <si>
    <t>V2</t>
  </si>
  <si>
    <t>V3</t>
  </si>
  <si>
    <t>V4</t>
  </si>
  <si>
    <t>R1</t>
  </si>
  <si>
    <t>R2</t>
  </si>
  <si>
    <t>R3</t>
  </si>
  <si>
    <t>R4</t>
  </si>
  <si>
    <t>λ</t>
  </si>
  <si>
    <t>ИС</t>
  </si>
  <si>
    <t xml:space="preserve">N </t>
  </si>
  <si>
    <t>СлС</t>
  </si>
  <si>
    <t>ОС</t>
  </si>
  <si>
    <t>Эксперты</t>
  </si>
  <si>
    <t>Альтернативы</t>
  </si>
  <si>
    <t>N</t>
  </si>
  <si>
    <t>M</t>
  </si>
  <si>
    <t>C</t>
  </si>
  <si>
    <t>Матрица парных сравнений</t>
  </si>
  <si>
    <t>Цены альтернатив</t>
  </si>
  <si>
    <t>Вес альтернатив</t>
  </si>
  <si>
    <t>Кол-во альтернатив</t>
  </si>
  <si>
    <t>Проверка экспертных оценок на непротиворечивость</t>
  </si>
  <si>
    <t>Матрица экспертных оценок для метода предпочтений</t>
  </si>
  <si>
    <t>Преобразованная матрица экспертных оценок</t>
  </si>
  <si>
    <t>Число альтернатив</t>
  </si>
  <si>
    <t>Число экспертов</t>
  </si>
  <si>
    <t>Сумма преобразованных оценок</t>
  </si>
  <si>
    <t>Веса альтернатив</t>
  </si>
  <si>
    <t>S1</t>
  </si>
  <si>
    <t>S2</t>
  </si>
  <si>
    <t>S3</t>
  </si>
  <si>
    <t>S4</t>
  </si>
  <si>
    <t>A</t>
  </si>
  <si>
    <t>S</t>
  </si>
  <si>
    <t>Коэфициент конкордации</t>
  </si>
  <si>
    <t>W</t>
  </si>
  <si>
    <t>Матрица экспертных оценок для метода ранга</t>
  </si>
  <si>
    <t>С3</t>
  </si>
  <si>
    <t>С4</t>
  </si>
  <si>
    <t>С2</t>
  </si>
  <si>
    <t>С1</t>
  </si>
  <si>
    <t>Dэ1</t>
  </si>
  <si>
    <t>Dэ2</t>
  </si>
  <si>
    <t>Dэ3</t>
  </si>
  <si>
    <t>Da1</t>
  </si>
  <si>
    <t>Da2</t>
  </si>
  <si>
    <t>Da3</t>
  </si>
  <si>
    <t>Da4</t>
  </si>
  <si>
    <t>Изменение режима работы</t>
  </si>
  <si>
    <t>Аренда склада</t>
  </si>
  <si>
    <t>Приобретение склада у другого предприия</t>
  </si>
  <si>
    <t>Строительство нового склада</t>
  </si>
  <si>
    <t>Власов Роман Евгеньевич 250541 Вариант 2</t>
  </si>
  <si>
    <t>Уточнение экспертных оценок в данном случае не требуется (&lt; 0,2)</t>
  </si>
  <si>
    <t>Требуется уточнение и согласование экспертных оценок</t>
  </si>
  <si>
    <t>Чем больше эта величина, тем больше расхождение мнений экспертов в отношении данной альтернативы.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</si>
</sst>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1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12" fontId="0" fillId="0" borderId="0" xfId="0" applyNumberFormat="1" applyAlignment="1">
      <alignment horizontal="left" vertical="center"/>
    </xf>
    <xf numFmtId="12" fontId="0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/>
    </xf>
    <xf numFmtId="164" fontId="0" fillId="0" borderId="0" xfId="0" applyNumberFormat="1"/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259080</xdr:colOff>
      <xdr:row>3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8811873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266700</xdr:colOff>
      <xdr:row>3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8819493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266700</xdr:colOff>
      <xdr:row>3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8819493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259080</xdr:colOff>
      <xdr:row>3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8811873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259080</xdr:colOff>
      <xdr:row>3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8811873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266700</xdr:colOff>
      <xdr:row>3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8819493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220980</xdr:colOff>
      <xdr:row>14</xdr:row>
      <xdr:rowOff>16873</xdr:rowOff>
    </xdr:from>
    <xdr:ext cx="204415" cy="1751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SpPr txBox="1"/>
          </xdr:nvSpPr>
          <xdr:spPr>
            <a:xfrm>
              <a:off x="220980" y="2711087"/>
              <a:ext cx="204415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</m:acc>
                    <m:r>
                      <a:rPr lang="en-US" sz="1100" b="0" i="1">
                        <a:latin typeface="Cambria Math" panose="02040503050406030204" pitchFamily="18" charset="0"/>
                      </a:rPr>
                      <m:t>3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xmlns:a14="http://schemas.microsoft.com/office/drawing/2010/main" xmlns="" id="{00000000-0008-0000-0200-000002000000}"/>
                </a:ext>
              </a:extLst>
            </xdr:cNvPr>
            <xdr:cNvSpPr txBox="1"/>
          </xdr:nvSpPr>
          <xdr:spPr>
            <a:xfrm>
              <a:off x="220980" y="2711087"/>
              <a:ext cx="204415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𝑋</a:t>
              </a:r>
              <a:r>
                <a:rPr lang="ru-RU" sz="1100" b="0" i="0">
                  <a:latin typeface="Cambria Math"/>
                </a:rPr>
                <a:t> ̅</a:t>
              </a:r>
              <a:r>
                <a:rPr lang="en-US" sz="1100" b="0" i="0">
                  <a:latin typeface="Cambria Math" panose="02040503050406030204" pitchFamily="18" charset="0"/>
                </a:rPr>
                <a:t>3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0</xdr:col>
      <xdr:colOff>231866</xdr:colOff>
      <xdr:row>12</xdr:row>
      <xdr:rowOff>15240</xdr:rowOff>
    </xdr:from>
    <xdr:ext cx="204415" cy="1751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00000000-0008-0000-0200-000003000000}"/>
                </a:ext>
              </a:extLst>
            </xdr:cNvPr>
            <xdr:cNvSpPr txBox="1"/>
          </xdr:nvSpPr>
          <xdr:spPr>
            <a:xfrm>
              <a:off x="231866" y="2328454"/>
              <a:ext cx="204415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</m:acc>
                    <m:r>
                      <a:rPr lang="en-US" sz="1100" b="0" i="1">
                        <a:latin typeface="Cambria Math" panose="02040503050406030204" pitchFamily="18" charset="0"/>
                      </a:rPr>
                      <m:t>1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xmlns:a14="http://schemas.microsoft.com/office/drawing/2010/main" xmlns="" id="{00000000-0008-0000-0200-000003000000}"/>
                </a:ext>
              </a:extLst>
            </xdr:cNvPr>
            <xdr:cNvSpPr txBox="1"/>
          </xdr:nvSpPr>
          <xdr:spPr>
            <a:xfrm>
              <a:off x="231866" y="2328454"/>
              <a:ext cx="204415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𝑋</a:t>
              </a:r>
              <a:r>
                <a:rPr lang="ru-RU" sz="1100" b="0" i="0">
                  <a:latin typeface="Cambria Math"/>
                </a:rPr>
                <a:t> ̅</a:t>
              </a:r>
              <a:r>
                <a:rPr lang="en-US" sz="1100" b="0" i="0">
                  <a:latin typeface="Cambria Math" panose="02040503050406030204" pitchFamily="18" charset="0"/>
                </a:rPr>
                <a:t>1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0</xdr:col>
      <xdr:colOff>217714</xdr:colOff>
      <xdr:row>13</xdr:row>
      <xdr:rowOff>17417</xdr:rowOff>
    </xdr:from>
    <xdr:ext cx="204415" cy="1751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 txBox="1"/>
          </xdr:nvSpPr>
          <xdr:spPr>
            <a:xfrm>
              <a:off x="217714" y="2521131"/>
              <a:ext cx="204415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</m:acc>
                    <m:r>
                      <a:rPr lang="en-US" sz="1100" b="0" i="1">
                        <a:latin typeface="Cambria Math" panose="02040503050406030204" pitchFamily="18" charset="0"/>
                      </a:rPr>
                      <m:t>2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xmlns:a14="http://schemas.microsoft.com/office/drawing/2010/main" xmlns="" id="{00000000-0008-0000-0200-000004000000}"/>
                </a:ext>
              </a:extLst>
            </xdr:cNvPr>
            <xdr:cNvSpPr txBox="1"/>
          </xdr:nvSpPr>
          <xdr:spPr>
            <a:xfrm>
              <a:off x="217714" y="2521131"/>
              <a:ext cx="204415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𝑋</a:t>
              </a:r>
              <a:r>
                <a:rPr lang="ru-RU" sz="1100" b="0" i="0">
                  <a:latin typeface="Cambria Math"/>
                </a:rPr>
                <a:t> ̅</a:t>
              </a:r>
              <a:r>
                <a:rPr lang="en-US" sz="1100" b="0" i="0">
                  <a:latin typeface="Cambria Math" panose="02040503050406030204" pitchFamily="18" charset="0"/>
                </a:rPr>
                <a:t>2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0</xdr:col>
      <xdr:colOff>223157</xdr:colOff>
      <xdr:row>15</xdr:row>
      <xdr:rowOff>18506</xdr:rowOff>
    </xdr:from>
    <xdr:ext cx="204415" cy="1751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 txBox="1"/>
          </xdr:nvSpPr>
          <xdr:spPr>
            <a:xfrm>
              <a:off x="223157" y="2903220"/>
              <a:ext cx="204415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</m:acc>
                    <m:r>
                      <a:rPr lang="en-US" sz="1100" b="0" i="1">
                        <a:latin typeface="Cambria Math" panose="02040503050406030204" pitchFamily="18" charset="0"/>
                      </a:rPr>
                      <m:t>4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xmlns:a14="http://schemas.microsoft.com/office/drawing/2010/main" xmlns="" id="{00000000-0008-0000-0200-000005000000}"/>
                </a:ext>
              </a:extLst>
            </xdr:cNvPr>
            <xdr:cNvSpPr txBox="1"/>
          </xdr:nvSpPr>
          <xdr:spPr>
            <a:xfrm>
              <a:off x="223157" y="2903220"/>
              <a:ext cx="204415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𝑋</a:t>
              </a:r>
              <a:r>
                <a:rPr lang="ru-RU" sz="1100" b="0" i="0">
                  <a:latin typeface="Cambria Math"/>
                </a:rPr>
                <a:t> ̅</a:t>
              </a:r>
              <a:r>
                <a:rPr lang="en-US" sz="1100" b="0" i="0">
                  <a:latin typeface="Cambria Math" panose="02040503050406030204" pitchFamily="18" charset="0"/>
                </a:rPr>
                <a:t>4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0</xdr:col>
      <xdr:colOff>266700</xdr:colOff>
      <xdr:row>15</xdr:row>
      <xdr:rowOff>7620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266700" y="289233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zoomScale="130" zoomScaleNormal="130" workbookViewId="0">
      <selection activeCell="F7" sqref="F7"/>
    </sheetView>
  </sheetViews>
  <sheetFormatPr defaultRowHeight="15" x14ac:dyDescent="0.25"/>
  <cols>
    <col min="1" max="1" width="9.140625" customWidth="1"/>
    <col min="2" max="2" width="6" customWidth="1"/>
    <col min="3" max="3" width="6.28515625" customWidth="1"/>
    <col min="4" max="4" width="6.5703125" customWidth="1"/>
    <col min="5" max="5" width="19.140625" customWidth="1"/>
    <col min="6" max="6" width="22" customWidth="1"/>
  </cols>
  <sheetData>
    <row r="1" spans="1:11" x14ac:dyDescent="0.25">
      <c r="A1" t="s">
        <v>66</v>
      </c>
      <c r="G1" t="s">
        <v>32</v>
      </c>
      <c r="J1" t="s">
        <v>33</v>
      </c>
    </row>
    <row r="2" spans="1:11" x14ac:dyDescent="0.25">
      <c r="A2" s="20" t="s">
        <v>31</v>
      </c>
      <c r="B2" s="20"/>
      <c r="C2" s="20"/>
      <c r="D2" s="20"/>
      <c r="E2" s="20"/>
      <c r="G2" s="1" t="s">
        <v>8</v>
      </c>
      <c r="H2" s="14">
        <f>GEOMEAN(B4:E4)</f>
        <v>0.54108226905393964</v>
      </c>
      <c r="J2" s="5" t="s">
        <v>13</v>
      </c>
      <c r="K2" s="16">
        <f>H2/$H$7</f>
        <v>8.4985964525792726E-2</v>
      </c>
    </row>
    <row r="3" spans="1:11" x14ac:dyDescent="0.25">
      <c r="A3" s="2"/>
      <c r="B3" s="11" t="s">
        <v>7</v>
      </c>
      <c r="C3" s="10" t="s">
        <v>1</v>
      </c>
      <c r="D3" s="10" t="s">
        <v>2</v>
      </c>
      <c r="E3" s="10" t="s">
        <v>3</v>
      </c>
      <c r="G3" s="1" t="s">
        <v>9</v>
      </c>
      <c r="H3" s="14">
        <f>GEOMEAN(B5:E5)</f>
        <v>0.26970223719007375</v>
      </c>
      <c r="J3" s="5" t="s">
        <v>14</v>
      </c>
      <c r="K3" s="16">
        <f>H3/$H$7</f>
        <v>4.2361219491518019E-2</v>
      </c>
    </row>
    <row r="4" spans="1:11" x14ac:dyDescent="0.25">
      <c r="A4" s="2" t="s">
        <v>0</v>
      </c>
      <c r="B4" s="10">
        <f>IF(B9=$B$9, 1, IF($B$10&gt;B9, 2*ABS(B9-$B$9)+1, 1/(2*ABS(B9-$B$9)+1)))</f>
        <v>1</v>
      </c>
      <c r="C4" s="10">
        <f>IF(B9=$B$10, 1, IF($B$10&gt;B9, 2*ABS(B9-$B$10)+1, 1/(2*ABS(B9-$B$10)+1)))</f>
        <v>3</v>
      </c>
      <c r="D4" s="10">
        <f>IF(B9=$B$11, 1, IF($B$11&gt;B9, 2*ABS(B9-$B$11)+1, 1/(2*ABS(B9-$B$11)+1)))</f>
        <v>0.14285714285714285</v>
      </c>
      <c r="E4" s="10">
        <f>IF(B9=$B$12, 1, IF($B$12&gt;B9, 2*ABS(B9-$B$12)+1, 1/(2*ABS(B9-$B$12)+1)))</f>
        <v>0.2</v>
      </c>
      <c r="G4" s="1" t="s">
        <v>10</v>
      </c>
      <c r="H4" s="14">
        <f>GEOMEAN(B6:E6)</f>
        <v>3.7077927510673407</v>
      </c>
      <c r="J4" s="5" t="s">
        <v>15</v>
      </c>
      <c r="K4" s="16">
        <f>H4/$H$7</f>
        <v>0.58237048455156015</v>
      </c>
    </row>
    <row r="5" spans="1:11" x14ac:dyDescent="0.25">
      <c r="A5" s="2" t="s">
        <v>4</v>
      </c>
      <c r="B5" s="10">
        <f>IF(B10=$B$9, 1, IF($B$9&gt;B10, 2*ABS(B10-$B$9)+1, 1/(2*ABS(B10-$B$9)+1)))</f>
        <v>0.33333333333333331</v>
      </c>
      <c r="C5" s="10">
        <f>IF(B10=$B$10, 1, IF($B$10&gt;B10, 2*ABS(B10-$B$10)+1, 1/(2*ABS(B10-$B$10)+1)))</f>
        <v>1</v>
      </c>
      <c r="D5" s="10">
        <f>IF(B10=$B$11, 1, IF($B$11&gt;B10, 2*ABS(B10-$B$11)+1, 1/(2*ABS(B10-$B$11)+1)))</f>
        <v>0.1111111111111111</v>
      </c>
      <c r="E5" s="10">
        <f>IF(B10=$B$12, 1, IF($B$12&gt;B10, 2*ABS(B10-$B$12)+1, 1/(2*ABS(B10-$B$12)+1)))</f>
        <v>0.14285714285714285</v>
      </c>
      <c r="G5" s="1" t="s">
        <v>11</v>
      </c>
      <c r="H5" s="14">
        <f>GEOMEAN(B7:E7)</f>
        <v>1.8481477904431416</v>
      </c>
      <c r="J5" s="5" t="s">
        <v>16</v>
      </c>
      <c r="K5" s="16">
        <f>H5/$H$7</f>
        <v>0.29028233143112908</v>
      </c>
    </row>
    <row r="6" spans="1:11" x14ac:dyDescent="0.25">
      <c r="A6" s="2" t="s">
        <v>5</v>
      </c>
      <c r="B6" s="10">
        <f>IF(B11=$B$9, 1, IF($B$9&gt;B11, 2*ABS(B11-$B$9)+1, 1/(2*ABS(B11-$B$9)+1)))</f>
        <v>7</v>
      </c>
      <c r="C6" s="10">
        <f>IF(B11=$B$10, 1, IF($B$10&gt;B11, 2*ABS(B11-$B$10)+1, 1/(2*ABS(B11-$B$10)+1)))</f>
        <v>9</v>
      </c>
      <c r="D6" s="10">
        <f>IF(B11=$B$11, 1, IF($B$11&gt;B11, 2*ABS(B11-$B$11)+1, 1/(2*ABS(B11-$B$11)+1)))</f>
        <v>1</v>
      </c>
      <c r="E6" s="10">
        <f>IF(B11=$B$12, 1, IF($B$12&gt;B11, 2*ABS(B11-$B$12)+1, 1/(2*ABS(B11-$B$12)+1)))</f>
        <v>3</v>
      </c>
    </row>
    <row r="7" spans="1:11" x14ac:dyDescent="0.25">
      <c r="A7" s="2" t="s">
        <v>6</v>
      </c>
      <c r="B7" s="10">
        <f>IF(B12=$B$9, 1, IF($B$9&gt;B12, 2*ABS(B12-$B$9)+1, 1/(2*ABS(B12-$B$9)+1)))</f>
        <v>5</v>
      </c>
      <c r="C7" s="10">
        <f>IF(B12=$B$10, 1, IF($B$10&gt;B12, 2*ABS(B12-$B$10)+1, 1/(2*ABS(B12-$B$10)+1)))</f>
        <v>7</v>
      </c>
      <c r="D7" s="10">
        <f>IF(B12=$B$11, 1, IF($B$11&gt;B12, 2*ABS(B12-$B$11)+1, 1/(2*ABS(B12-$B$11)+1)))</f>
        <v>0.33333333333333331</v>
      </c>
      <c r="E7" s="10">
        <f>IF(B12=$B$12, 1, IF($B$12&gt;B12, 2*ABS(B12-$B$12)+1, 1/(2*ABS(B12-$B$12)+1)))</f>
        <v>1</v>
      </c>
      <c r="G7" s="1" t="s">
        <v>12</v>
      </c>
      <c r="H7" s="14">
        <f>SUM(H2:H5)</f>
        <v>6.3667250477544961</v>
      </c>
    </row>
    <row r="8" spans="1:11" x14ac:dyDescent="0.25">
      <c r="A8" s="1"/>
      <c r="B8" s="1"/>
      <c r="C8" s="1"/>
      <c r="D8" s="1"/>
      <c r="E8" s="1"/>
    </row>
    <row r="9" spans="1:11" x14ac:dyDescent="0.25">
      <c r="A9" s="4" t="s">
        <v>7</v>
      </c>
      <c r="B9" s="10">
        <v>4</v>
      </c>
      <c r="C9" t="s">
        <v>65</v>
      </c>
      <c r="D9" s="1"/>
      <c r="E9" s="1"/>
    </row>
    <row r="10" spans="1:11" x14ac:dyDescent="0.25">
      <c r="A10" s="4" t="s">
        <v>1</v>
      </c>
      <c r="B10" s="10">
        <v>5</v>
      </c>
      <c r="C10" t="s">
        <v>64</v>
      </c>
    </row>
    <row r="11" spans="1:11" x14ac:dyDescent="0.25">
      <c r="A11" s="4" t="s">
        <v>2</v>
      </c>
      <c r="B11" s="10">
        <v>1</v>
      </c>
      <c r="C11" t="s">
        <v>63</v>
      </c>
    </row>
    <row r="12" spans="1:11" x14ac:dyDescent="0.25">
      <c r="A12" s="4" t="s">
        <v>3</v>
      </c>
      <c r="B12" s="10">
        <v>2</v>
      </c>
      <c r="C12" t="s">
        <v>62</v>
      </c>
    </row>
    <row r="13" spans="1:11" x14ac:dyDescent="0.25">
      <c r="A13" s="5"/>
      <c r="B13" s="13"/>
    </row>
    <row r="14" spans="1:11" x14ac:dyDescent="0.25">
      <c r="A14" s="4" t="s">
        <v>23</v>
      </c>
      <c r="B14" s="10">
        <v>4</v>
      </c>
      <c r="C14" t="s">
        <v>34</v>
      </c>
    </row>
    <row r="16" spans="1:11" x14ac:dyDescent="0.25">
      <c r="A16" s="12" t="s">
        <v>35</v>
      </c>
    </row>
    <row r="18" spans="1:4" x14ac:dyDescent="0.25">
      <c r="A18" s="3" t="s">
        <v>17</v>
      </c>
      <c r="B18" s="3" t="s">
        <v>18</v>
      </c>
      <c r="C18" s="3" t="s">
        <v>19</v>
      </c>
      <c r="D18" s="3" t="s">
        <v>20</v>
      </c>
    </row>
    <row r="19" spans="1:4" x14ac:dyDescent="0.25">
      <c r="A19" s="3">
        <f>SUM(B4:B7)</f>
        <v>13.333333333333334</v>
      </c>
      <c r="B19" s="3">
        <f>SUM(C4:C7)</f>
        <v>20</v>
      </c>
      <c r="C19" s="3">
        <f>SUM(D4:D7)</f>
        <v>1.5873015873015872</v>
      </c>
      <c r="D19" s="3">
        <f>SUM(E4:E7)</f>
        <v>4.3428571428571434</v>
      </c>
    </row>
    <row r="21" spans="1:4" x14ac:dyDescent="0.25">
      <c r="A21" s="6" t="s">
        <v>21</v>
      </c>
      <c r="B21" s="6"/>
      <c r="C21" s="6" t="s">
        <v>22</v>
      </c>
      <c r="D21" s="6"/>
    </row>
    <row r="22" spans="1:4" x14ac:dyDescent="0.25">
      <c r="A22" s="17">
        <f>SUM(A19*K2,B19*K3,C19*K4,D19*K5)</f>
        <v>4.1654228745347863</v>
      </c>
      <c r="C22" s="3">
        <f>(A22-B14)/(B14-1)</f>
        <v>5.514095817826211E-2</v>
      </c>
    </row>
    <row r="24" spans="1:4" x14ac:dyDescent="0.25">
      <c r="A24" s="1" t="s">
        <v>24</v>
      </c>
      <c r="C24" s="5" t="s">
        <v>25</v>
      </c>
    </row>
    <row r="25" spans="1:4" x14ac:dyDescent="0.25">
      <c r="A25" s="5">
        <v>0.9</v>
      </c>
      <c r="C25">
        <f>C22/A25</f>
        <v>6.1267731309180118E-2</v>
      </c>
      <c r="D25" t="s">
        <v>67</v>
      </c>
    </row>
  </sheetData>
  <mergeCells count="1">
    <mergeCell ref="A2:E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zoomScale="115" zoomScaleNormal="115" workbookViewId="0">
      <selection activeCell="I22" sqref="I22"/>
    </sheetView>
  </sheetViews>
  <sheetFormatPr defaultRowHeight="15" x14ac:dyDescent="0.25"/>
  <sheetData>
    <row r="1" spans="1:11" x14ac:dyDescent="0.25">
      <c r="A1" t="s">
        <v>36</v>
      </c>
      <c r="K1" s="7"/>
    </row>
    <row r="2" spans="1:11" x14ac:dyDescent="0.25">
      <c r="A2" s="8" t="s">
        <v>26</v>
      </c>
      <c r="B2" s="20" t="s">
        <v>27</v>
      </c>
      <c r="C2" s="20"/>
      <c r="D2" s="20"/>
      <c r="E2" s="20"/>
    </row>
    <row r="3" spans="1:11" x14ac:dyDescent="0.25">
      <c r="A3" s="8"/>
      <c r="B3" s="7" t="s">
        <v>7</v>
      </c>
      <c r="C3" s="7" t="s">
        <v>1</v>
      </c>
      <c r="D3" s="7" t="s">
        <v>2</v>
      </c>
      <c r="E3" s="7" t="s">
        <v>3</v>
      </c>
      <c r="G3" s="4" t="s">
        <v>7</v>
      </c>
      <c r="H3" t="s">
        <v>65</v>
      </c>
      <c r="J3" s="7"/>
    </row>
    <row r="4" spans="1:11" x14ac:dyDescent="0.25">
      <c r="A4" s="7">
        <v>1</v>
      </c>
      <c r="B4" s="15">
        <v>4</v>
      </c>
      <c r="C4" s="15">
        <v>3</v>
      </c>
      <c r="D4" s="15">
        <v>1</v>
      </c>
      <c r="E4" s="15">
        <v>2</v>
      </c>
      <c r="G4" s="4" t="s">
        <v>1</v>
      </c>
      <c r="H4" t="s">
        <v>64</v>
      </c>
    </row>
    <row r="5" spans="1:11" x14ac:dyDescent="0.25">
      <c r="A5" s="7">
        <v>2</v>
      </c>
      <c r="B5" s="15">
        <v>3</v>
      </c>
      <c r="C5" s="15">
        <v>4</v>
      </c>
      <c r="D5" s="15">
        <v>2</v>
      </c>
      <c r="E5" s="15">
        <v>1</v>
      </c>
      <c r="G5" s="4" t="s">
        <v>2</v>
      </c>
      <c r="H5" t="s">
        <v>63</v>
      </c>
    </row>
    <row r="6" spans="1:11" x14ac:dyDescent="0.25">
      <c r="A6" s="7">
        <v>3</v>
      </c>
      <c r="B6" s="15">
        <v>1</v>
      </c>
      <c r="C6" s="15">
        <v>4</v>
      </c>
      <c r="D6" s="15">
        <v>3</v>
      </c>
      <c r="E6" s="15">
        <v>2</v>
      </c>
      <c r="G6" s="4" t="s">
        <v>3</v>
      </c>
      <c r="H6" t="s">
        <v>62</v>
      </c>
    </row>
    <row r="9" spans="1:11" x14ac:dyDescent="0.25">
      <c r="A9" s="5" t="s">
        <v>28</v>
      </c>
      <c r="B9" s="15">
        <v>4</v>
      </c>
      <c r="D9" t="s">
        <v>38</v>
      </c>
    </row>
    <row r="10" spans="1:11" x14ac:dyDescent="0.25">
      <c r="A10" s="5" t="s">
        <v>29</v>
      </c>
      <c r="B10" s="15">
        <v>3</v>
      </c>
      <c r="D10" t="s">
        <v>39</v>
      </c>
    </row>
    <row r="12" spans="1:11" x14ac:dyDescent="0.25">
      <c r="A12" t="s">
        <v>37</v>
      </c>
    </row>
    <row r="13" spans="1:11" x14ac:dyDescent="0.25">
      <c r="A13" s="8" t="s">
        <v>26</v>
      </c>
      <c r="B13" s="19" t="s">
        <v>27</v>
      </c>
      <c r="C13" s="19"/>
      <c r="D13" s="19"/>
      <c r="E13" s="19"/>
    </row>
    <row r="14" spans="1:11" x14ac:dyDescent="0.25">
      <c r="A14" s="8"/>
      <c r="B14" s="7" t="s">
        <v>7</v>
      </c>
      <c r="C14" s="7" t="s">
        <v>1</v>
      </c>
      <c r="D14" s="7" t="s">
        <v>2</v>
      </c>
      <c r="E14" s="7" t="s">
        <v>3</v>
      </c>
    </row>
    <row r="15" spans="1:11" x14ac:dyDescent="0.25">
      <c r="A15" s="7">
        <v>1</v>
      </c>
      <c r="B15" s="15">
        <f t="shared" ref="B15:E17" si="0">$B$9-B4</f>
        <v>0</v>
      </c>
      <c r="C15" s="15">
        <f t="shared" si="0"/>
        <v>1</v>
      </c>
      <c r="D15" s="15">
        <f t="shared" si="0"/>
        <v>3</v>
      </c>
      <c r="E15" s="15">
        <f t="shared" si="0"/>
        <v>2</v>
      </c>
    </row>
    <row r="16" spans="1:11" x14ac:dyDescent="0.25">
      <c r="A16" s="7">
        <v>2</v>
      </c>
      <c r="B16" s="15">
        <f t="shared" si="0"/>
        <v>1</v>
      </c>
      <c r="C16" s="15">
        <f t="shared" si="0"/>
        <v>0</v>
      </c>
      <c r="D16" s="15">
        <f t="shared" si="0"/>
        <v>2</v>
      </c>
      <c r="E16" s="15">
        <f t="shared" si="0"/>
        <v>3</v>
      </c>
    </row>
    <row r="17" spans="1:10" x14ac:dyDescent="0.25">
      <c r="A17" s="7">
        <v>3</v>
      </c>
      <c r="B17" s="15">
        <f t="shared" si="0"/>
        <v>3</v>
      </c>
      <c r="C17" s="15">
        <f t="shared" si="0"/>
        <v>0</v>
      </c>
      <c r="D17" s="15">
        <f t="shared" si="0"/>
        <v>1</v>
      </c>
      <c r="E17" s="15">
        <f t="shared" si="0"/>
        <v>2</v>
      </c>
    </row>
    <row r="19" spans="1:10" x14ac:dyDescent="0.25">
      <c r="A19" t="s">
        <v>40</v>
      </c>
      <c r="E19" t="s">
        <v>41</v>
      </c>
    </row>
    <row r="20" spans="1:10" x14ac:dyDescent="0.25">
      <c r="A20" s="5" t="s">
        <v>8</v>
      </c>
      <c r="B20" s="13">
        <f>SUM(B15:B17)</f>
        <v>4</v>
      </c>
      <c r="E20" s="5" t="s">
        <v>13</v>
      </c>
      <c r="F20" s="16">
        <f>B20/$B$25</f>
        <v>0.22222222222222221</v>
      </c>
      <c r="H20" s="5" t="s">
        <v>42</v>
      </c>
      <c r="I20" s="13">
        <f>SUM(B4:B6)</f>
        <v>8</v>
      </c>
    </row>
    <row r="21" spans="1:10" x14ac:dyDescent="0.25">
      <c r="A21" s="5" t="s">
        <v>9</v>
      </c>
      <c r="B21" s="13">
        <f>SUM(C15:C17)</f>
        <v>1</v>
      </c>
      <c r="E21" s="5" t="s">
        <v>14</v>
      </c>
      <c r="F21" s="16">
        <f t="shared" ref="F21:F23" si="1">B21/$B$25</f>
        <v>5.5555555555555552E-2</v>
      </c>
      <c r="H21" s="5" t="s">
        <v>43</v>
      </c>
      <c r="I21" s="13">
        <f>SUM(C4:C6)</f>
        <v>11</v>
      </c>
    </row>
    <row r="22" spans="1:10" x14ac:dyDescent="0.25">
      <c r="A22" s="5" t="s">
        <v>10</v>
      </c>
      <c r="B22" s="13">
        <f>SUM(D15:D17)</f>
        <v>6</v>
      </c>
      <c r="E22" s="5" t="s">
        <v>15</v>
      </c>
      <c r="F22" s="16">
        <f t="shared" si="1"/>
        <v>0.33333333333333331</v>
      </c>
      <c r="H22" s="5" t="s">
        <v>44</v>
      </c>
      <c r="I22" s="13">
        <f>SUM(D4:D6)</f>
        <v>6</v>
      </c>
    </row>
    <row r="23" spans="1:10" x14ac:dyDescent="0.25">
      <c r="A23" s="5" t="s">
        <v>11</v>
      </c>
      <c r="B23" s="13">
        <f>SUM(E15:E17)</f>
        <v>7</v>
      </c>
      <c r="E23" s="5" t="s">
        <v>16</v>
      </c>
      <c r="F23" s="16">
        <f t="shared" si="1"/>
        <v>0.3888888888888889</v>
      </c>
      <c r="H23" s="5" t="s">
        <v>45</v>
      </c>
      <c r="I23" s="13">
        <f>SUM(E4:E6)</f>
        <v>5</v>
      </c>
    </row>
    <row r="25" spans="1:10" x14ac:dyDescent="0.25">
      <c r="A25" s="5" t="s">
        <v>30</v>
      </c>
      <c r="B25" s="13">
        <f>SUM(B20:B23)</f>
        <v>18</v>
      </c>
      <c r="H25" s="5" t="s">
        <v>46</v>
      </c>
      <c r="I25" s="13">
        <f>B10*(B9+1)/2</f>
        <v>7.5</v>
      </c>
    </row>
    <row r="26" spans="1:10" x14ac:dyDescent="0.25">
      <c r="H26" s="5" t="s">
        <v>47</v>
      </c>
      <c r="I26" s="13">
        <f>(I20 - I25)^2 +(I21 - I25)^2 +(I22 - I25)^2 +(I23 - I25)^2</f>
        <v>21</v>
      </c>
    </row>
    <row r="27" spans="1:10" x14ac:dyDescent="0.25">
      <c r="D27" s="5"/>
      <c r="H27" s="13" t="s">
        <v>48</v>
      </c>
    </row>
    <row r="28" spans="1:10" x14ac:dyDescent="0.25">
      <c r="C28" s="5"/>
      <c r="D28" s="5"/>
      <c r="E28" s="5"/>
      <c r="H28" s="5" t="s">
        <v>49</v>
      </c>
      <c r="I28" s="16">
        <f>12*I26/(B10^2*B9*(B9^2-1))</f>
        <v>0.46666666666666667</v>
      </c>
      <c r="J28" t="s">
        <v>68</v>
      </c>
    </row>
  </sheetData>
  <mergeCells count="2">
    <mergeCell ref="B13:E13"/>
    <mergeCell ref="B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tabSelected="1" zoomScale="115" zoomScaleNormal="115" workbookViewId="0">
      <selection activeCell="J13" sqref="J13"/>
    </sheetView>
  </sheetViews>
  <sheetFormatPr defaultRowHeight="15" x14ac:dyDescent="0.25"/>
  <cols>
    <col min="16" max="16" width="12.42578125" customWidth="1"/>
  </cols>
  <sheetData>
    <row r="1" spans="1:10" x14ac:dyDescent="0.25">
      <c r="A1" t="s">
        <v>50</v>
      </c>
      <c r="I1" s="4" t="s">
        <v>7</v>
      </c>
      <c r="J1" t="s">
        <v>65</v>
      </c>
    </row>
    <row r="2" spans="1:10" x14ac:dyDescent="0.25">
      <c r="B2" s="5" t="s">
        <v>7</v>
      </c>
      <c r="C2" s="5" t="s">
        <v>1</v>
      </c>
      <c r="D2" s="5" t="s">
        <v>2</v>
      </c>
      <c r="E2" s="5" t="s">
        <v>3</v>
      </c>
      <c r="I2" s="4" t="s">
        <v>1</v>
      </c>
      <c r="J2" t="s">
        <v>64</v>
      </c>
    </row>
    <row r="3" spans="1:10" x14ac:dyDescent="0.25">
      <c r="A3" s="5">
        <v>1</v>
      </c>
      <c r="B3" s="15">
        <v>5</v>
      </c>
      <c r="C3" s="15">
        <v>3</v>
      </c>
      <c r="D3" s="15">
        <v>10</v>
      </c>
      <c r="E3" s="15">
        <v>9</v>
      </c>
      <c r="G3" s="5" t="s">
        <v>28</v>
      </c>
      <c r="H3" s="13">
        <v>4</v>
      </c>
      <c r="I3" s="4" t="s">
        <v>2</v>
      </c>
      <c r="J3" t="s">
        <v>63</v>
      </c>
    </row>
    <row r="4" spans="1:10" x14ac:dyDescent="0.25">
      <c r="A4" s="5">
        <v>2</v>
      </c>
      <c r="B4" s="15">
        <v>6</v>
      </c>
      <c r="C4" s="15">
        <v>2</v>
      </c>
      <c r="D4" s="15">
        <v>8</v>
      </c>
      <c r="E4" s="15">
        <v>10</v>
      </c>
      <c r="G4" s="5" t="s">
        <v>29</v>
      </c>
      <c r="H4" s="13">
        <v>3</v>
      </c>
      <c r="I4" s="4" t="s">
        <v>3</v>
      </c>
      <c r="J4" t="s">
        <v>62</v>
      </c>
    </row>
    <row r="5" spans="1:10" x14ac:dyDescent="0.25">
      <c r="A5" s="5">
        <v>3</v>
      </c>
      <c r="B5" s="15">
        <v>10</v>
      </c>
      <c r="C5" s="15">
        <v>4</v>
      </c>
      <c r="D5" s="15">
        <v>8</v>
      </c>
      <c r="E5" s="15">
        <v>9</v>
      </c>
    </row>
    <row r="7" spans="1:10" x14ac:dyDescent="0.25">
      <c r="A7" s="7" t="s">
        <v>54</v>
      </c>
      <c r="B7" s="13">
        <f>SUM(B3:B5)</f>
        <v>21</v>
      </c>
      <c r="C7" s="5"/>
      <c r="D7" s="5"/>
      <c r="E7" s="5" t="s">
        <v>13</v>
      </c>
      <c r="F7" s="16">
        <f>B7/$B$11</f>
        <v>0.25</v>
      </c>
    </row>
    <row r="8" spans="1:10" x14ac:dyDescent="0.25">
      <c r="A8" s="7" t="s">
        <v>53</v>
      </c>
      <c r="B8" s="13">
        <f>SUM(C3:C5)</f>
        <v>9</v>
      </c>
      <c r="E8" s="5" t="s">
        <v>14</v>
      </c>
      <c r="F8" s="16">
        <f t="shared" ref="F8:F10" si="0">B8/$B$11</f>
        <v>0.10714285714285714</v>
      </c>
    </row>
    <row r="9" spans="1:10" x14ac:dyDescent="0.25">
      <c r="A9" s="7" t="s">
        <v>51</v>
      </c>
      <c r="B9" s="13">
        <f>SUM(D3:D5)</f>
        <v>26</v>
      </c>
      <c r="E9" s="5" t="s">
        <v>15</v>
      </c>
      <c r="F9" s="16">
        <f t="shared" si="0"/>
        <v>0.30952380952380953</v>
      </c>
    </row>
    <row r="10" spans="1:10" x14ac:dyDescent="0.25">
      <c r="A10" s="7" t="s">
        <v>52</v>
      </c>
      <c r="B10" s="13">
        <f>SUM(E3:E5)</f>
        <v>28</v>
      </c>
      <c r="E10" s="5" t="s">
        <v>16</v>
      </c>
      <c r="F10" s="16">
        <f t="shared" si="0"/>
        <v>0.33333333333333331</v>
      </c>
    </row>
    <row r="11" spans="1:10" x14ac:dyDescent="0.25">
      <c r="A11" s="7" t="s">
        <v>12</v>
      </c>
      <c r="B11" s="13">
        <f>SUM(B7:B10)</f>
        <v>84</v>
      </c>
    </row>
    <row r="13" spans="1:10" x14ac:dyDescent="0.25">
      <c r="B13" s="18">
        <f>B7/$H$4</f>
        <v>7</v>
      </c>
      <c r="D13" s="5" t="s">
        <v>55</v>
      </c>
      <c r="E13" s="16">
        <f>1/($H$3-1)*((B3-$B$13)^2+(C3-$B$14)^2+(D3-$B$15)^2+(E3-$B$16)^2)</f>
        <v>1.9629629629629637</v>
      </c>
      <c r="G13" s="5" t="s">
        <v>58</v>
      </c>
      <c r="H13" s="16">
        <f>1/($H$4-1)*((B3-B13)^2+(B4-B13)^2+(B5-B13)^2)</f>
        <v>7</v>
      </c>
    </row>
    <row r="14" spans="1:10" x14ac:dyDescent="0.25">
      <c r="B14" s="18">
        <f t="shared" ref="B14:B16" si="1">B8/$H$4</f>
        <v>3</v>
      </c>
      <c r="D14" s="5" t="s">
        <v>56</v>
      </c>
      <c r="E14" s="16">
        <f>1/($H$3-1)*((B4-$B$13)^2+(C4-$B$14)^2+(D4-$B$15)^2+(E4-$B$16)^2)</f>
        <v>0.96296296296296247</v>
      </c>
      <c r="G14" s="5" t="s">
        <v>59</v>
      </c>
      <c r="H14" s="16">
        <f>1/($H$4-1)*((C3-B14)^2+(C4-B14)^2+(C5-B14)^2)</f>
        <v>1</v>
      </c>
    </row>
    <row r="15" spans="1:10" x14ac:dyDescent="0.25">
      <c r="B15" s="18">
        <f t="shared" si="1"/>
        <v>8.6666666666666661</v>
      </c>
      <c r="D15" s="5" t="s">
        <v>57</v>
      </c>
      <c r="E15" s="16">
        <f>1/($H$3-1)*((B5-$B$13)^2+(C5-$B$14)^2+(D5-$B$15)^2+(E5-$B$16)^2)</f>
        <v>3.5185185185185177</v>
      </c>
      <c r="G15" s="5" t="s">
        <v>60</v>
      </c>
      <c r="H15" s="16">
        <f>1/($H$4-1)*((D3-B15)^2+(D4-B15)^2+(D5-B15)^2)</f>
        <v>1.3333333333333335</v>
      </c>
    </row>
    <row r="16" spans="1:10" x14ac:dyDescent="0.25">
      <c r="B16" s="18">
        <f t="shared" si="1"/>
        <v>9.3333333333333339</v>
      </c>
      <c r="D16" s="9"/>
      <c r="G16" s="5" t="s">
        <v>61</v>
      </c>
      <c r="H16" s="16">
        <f>1/($H$4-1)*((E3-B16)^2+(E4-B16)^2+(E5-B16)^2)</f>
        <v>0.33333333333333331</v>
      </c>
    </row>
    <row r="17" spans="7:7" x14ac:dyDescent="0.25">
      <c r="G17" t="s">
        <v>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Саати</vt:lpstr>
      <vt:lpstr>Предпочтений</vt:lpstr>
      <vt:lpstr>Ранг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Артём Ермоленко</dc:creator>
  <cp:lastModifiedBy>Artem Ermolenko</cp:lastModifiedBy>
  <dcterms:created xsi:type="dcterms:W3CDTF">2024-06-01T06:08:20Z</dcterms:created>
  <dcterms:modified xsi:type="dcterms:W3CDTF">2025-06-28T06:48:58Z</dcterms:modified>
</cp:coreProperties>
</file>