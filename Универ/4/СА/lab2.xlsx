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Артем\Desktop\Ромчик\"/>
    </mc:Choice>
  </mc:AlternateContent>
  <bookViews>
    <workbookView xWindow="4155" yWindow="1320" windowWidth="21195" windowHeight="13980"/>
  </bookViews>
  <sheets>
    <sheet name="Критерии" sheetId="1" r:id="rId1"/>
    <sheet name="Критерий 1" sheetId="2" r:id="rId2"/>
    <sheet name="Критерий 2" sheetId="4" r:id="rId3"/>
    <sheet name="Критерий 3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15" i="1"/>
  <c r="B13" i="1"/>
  <c r="B5" i="1"/>
  <c r="B4" i="1"/>
  <c r="F8" i="5" l="1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D5" i="1"/>
  <c r="D6" i="1"/>
  <c r="D4" i="1"/>
  <c r="C5" i="1"/>
  <c r="C6" i="1"/>
  <c r="C4" i="1"/>
  <c r="B6" i="1"/>
  <c r="B18" i="4" l="1"/>
  <c r="B20" i="4"/>
  <c r="B17" i="2"/>
  <c r="B16" i="2"/>
  <c r="B20" i="5"/>
  <c r="B19" i="5"/>
  <c r="B17" i="5"/>
  <c r="B16" i="5"/>
  <c r="B18" i="5"/>
  <c r="B19" i="4"/>
  <c r="B17" i="4"/>
  <c r="B16" i="4"/>
  <c r="B14" i="1"/>
  <c r="B21" i="5" l="1"/>
  <c r="E17" i="5" s="1"/>
  <c r="B21" i="4"/>
  <c r="E20" i="4" s="1"/>
  <c r="B16" i="1"/>
  <c r="D15" i="1" s="1"/>
  <c r="E19" i="5" l="1"/>
  <c r="E18" i="5"/>
  <c r="E16" i="5"/>
  <c r="E20" i="5"/>
  <c r="E16" i="4"/>
  <c r="E17" i="4"/>
  <c r="E19" i="4"/>
  <c r="E18" i="4"/>
  <c r="D13" i="1"/>
  <c r="D14" i="1"/>
  <c r="B19" i="2"/>
  <c r="B20" i="2"/>
  <c r="B18" i="2"/>
  <c r="B21" i="2" l="1"/>
  <c r="E16" i="2" s="1"/>
  <c r="B23" i="1" s="1"/>
  <c r="E20" i="2" l="1"/>
  <c r="B27" i="1" s="1"/>
  <c r="E19" i="2"/>
  <c r="B26" i="1" s="1"/>
  <c r="E17" i="2"/>
  <c r="B24" i="1" s="1"/>
  <c r="E18" i="2"/>
  <c r="B25" i="1" s="1"/>
</calcChain>
</file>

<file path=xl/sharedStrings.xml><?xml version="1.0" encoding="utf-8"?>
<sst xmlns="http://schemas.openxmlformats.org/spreadsheetml/2006/main" count="120" uniqueCount="57">
  <si>
    <t>С - сумма средних геометрических строк матрицы</t>
  </si>
  <si>
    <t>K1</t>
  </si>
  <si>
    <t>K2</t>
  </si>
  <si>
    <t>K3</t>
  </si>
  <si>
    <t xml:space="preserve">Матрица парных сравнений критериев по важности </t>
  </si>
  <si>
    <t>С1</t>
  </si>
  <si>
    <t>С2</t>
  </si>
  <si>
    <t>С3</t>
  </si>
  <si>
    <t>С</t>
  </si>
  <si>
    <t>C2</t>
  </si>
  <si>
    <t>C3</t>
  </si>
  <si>
    <t>С6</t>
  </si>
  <si>
    <t>ЛК1</t>
  </si>
  <si>
    <t>ЛК2</t>
  </si>
  <si>
    <t>ЛК3</t>
  </si>
  <si>
    <t>ЛК - локальный приоритет критерия</t>
  </si>
  <si>
    <t>Глобальный приоритет альтернатив</t>
  </si>
  <si>
    <t>GП1</t>
  </si>
  <si>
    <t>GП2</t>
  </si>
  <si>
    <t>GП3</t>
  </si>
  <si>
    <t>GП5</t>
  </si>
  <si>
    <t>GП6</t>
  </si>
  <si>
    <t>Власов Роман Евгеньевич 250541 Вариант 2</t>
  </si>
  <si>
    <t>Производительность</t>
  </si>
  <si>
    <t>Стоимость станка</t>
  </si>
  <si>
    <t>Мнение первого эксперта</t>
  </si>
  <si>
    <t>Надежность</t>
  </si>
  <si>
    <t>Матрица парных сравнений альтернатив по критерию ''Производительность''</t>
  </si>
  <si>
    <t>СТ1</t>
  </si>
  <si>
    <t>СТ - Станок</t>
  </si>
  <si>
    <t>а по остльным параметрам они равны</t>
  </si>
  <si>
    <t>Был убран СТ5, так как  производительность СТ2 на 5 изделий/ч выше,</t>
  </si>
  <si>
    <t>СТ2</t>
  </si>
  <si>
    <t>СТ3</t>
  </si>
  <si>
    <t>СТ4</t>
  </si>
  <si>
    <t>СТ6</t>
  </si>
  <si>
    <t>C4</t>
  </si>
  <si>
    <t>ЛК1СТ1=</t>
  </si>
  <si>
    <t>ЛК1СТ3=</t>
  </si>
  <si>
    <t>ЛК1СТ2=</t>
  </si>
  <si>
    <t>ЛК1СТ4=</t>
  </si>
  <si>
    <t>ЛК1СТ6=</t>
  </si>
  <si>
    <t>ЛК2СТ1</t>
  </si>
  <si>
    <t>ЛК2СТ2</t>
  </si>
  <si>
    <t>ЛК2СТ3</t>
  </si>
  <si>
    <t>ЛК2СТ4</t>
  </si>
  <si>
    <t>ЛК2СТ6</t>
  </si>
  <si>
    <t>ЛК3СТ1</t>
  </si>
  <si>
    <t>ЛК3СТ2</t>
  </si>
  <si>
    <t>ЛК3СТ3</t>
  </si>
  <si>
    <t>ЛК3СТ4</t>
  </si>
  <si>
    <t>ЛК3СТ6</t>
  </si>
  <si>
    <t>ЛК3СТ - локальный приоритет альтернатив относительно критерия 3</t>
  </si>
  <si>
    <t>ЛК2СТ - локальный приоритет альтернатив относительно критерия 2</t>
  </si>
  <si>
    <t>ЛК1СТ - локальный приоритет альтернатив относительно критерия 1</t>
  </si>
  <si>
    <t>Матрица парных сравнений альтернатив по критерию "Надежность"</t>
  </si>
  <si>
    <t>Матрица парных сравнений альтернатив по критерию ''Стоимость станка''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</si>
</sst>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 (Основной текст)"/>
      <charset val="204"/>
    </font>
    <font>
      <sz val="14"/>
      <color theme="1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2" fontId="0" fillId="0" borderId="0" xfId="0" applyNumberFormat="1" applyAlignment="1">
      <alignment horizontal="left"/>
    </xf>
    <xf numFmtId="0" fontId="0" fillId="0" borderId="0" xfId="0" applyFont="1" applyAlignment="1">
      <alignment horizontal="center"/>
    </xf>
    <xf numFmtId="1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10" zoomScaleNormal="100" workbookViewId="0">
      <selection activeCell="D24" sqref="D24"/>
    </sheetView>
  </sheetViews>
  <sheetFormatPr defaultColWidth="11" defaultRowHeight="15.75"/>
  <sheetData>
    <row r="1" spans="1:8" ht="18.75">
      <c r="A1" s="11" t="s">
        <v>22</v>
      </c>
    </row>
    <row r="2" spans="1:8" ht="18.75">
      <c r="A2" s="11" t="s">
        <v>4</v>
      </c>
    </row>
    <row r="3" spans="1:8" ht="18">
      <c r="B3" s="1" t="s">
        <v>1</v>
      </c>
      <c r="C3" s="1" t="s">
        <v>2</v>
      </c>
      <c r="D3" s="1" t="s">
        <v>3</v>
      </c>
      <c r="H3" s="4"/>
    </row>
    <row r="4" spans="1:8">
      <c r="A4" s="1" t="s">
        <v>1</v>
      </c>
      <c r="B4" s="6">
        <f>IF(B9=$B$9, 1, IF(B9&gt;$B$9, 2*ABS(B9-$B$9)+1, 1/(2*ABS(B9-$B$9)+1)))</f>
        <v>1</v>
      </c>
      <c r="C4" s="6">
        <f>IF(B9=$B$10, 1, IF(B9&gt;$B$10, 2*ABS(B9-$B$10)+1, 1/(2*ABS(B9-$B$10)+1)))</f>
        <v>0.33333333333333331</v>
      </c>
      <c r="D4" s="6">
        <f>IF(B9=$B$11, 1, IF(B9&gt;$B$11, 2*ABS(B9-$B$11)+1, 1/(2*ABS(B9-$B$11)+1)))</f>
        <v>0.2</v>
      </c>
    </row>
    <row r="5" spans="1:8">
      <c r="A5" s="1" t="s">
        <v>2</v>
      </c>
      <c r="B5" s="6">
        <f>IF(B10=$B$9, 1, IF(B10&gt;B$9, 2*ABS(B10-B$9)+1, 1/(2*ABS(B10-B$9)+1)))</f>
        <v>3</v>
      </c>
      <c r="C5" s="6">
        <f>IF(B10=$B$10, 1, IF(B10&gt;$B$10, 2*ABS(B10-$B$10)+1, 1/(2*ABS(B10-$B$10)+1)))</f>
        <v>1</v>
      </c>
      <c r="D5" s="6">
        <f>IF(B10=$B$11, 1, IF(B10&gt;$B$11, 2*ABS(B10-$B$11)+1, 1/(2*ABS(B10-$B$11)+1)))</f>
        <v>0.33333333333333331</v>
      </c>
    </row>
    <row r="6" spans="1:8">
      <c r="A6" s="1" t="s">
        <v>3</v>
      </c>
      <c r="B6" s="6">
        <f>IF(B11=$B$9, 1, IF(B11&gt;B$9, 2*ABS(B11-B$9)+1, 1/(2*ABS(B11-B$9)+1)))</f>
        <v>5</v>
      </c>
      <c r="C6" s="6">
        <f>IF(B11=$B$10, 1, IF(B11&gt;$B$10, 2*ABS(B11-$B$10)+1, 1/(2*ABS(B11-$B$10)+1)))</f>
        <v>3</v>
      </c>
      <c r="D6" s="6">
        <f>IF(B11=$B$11, 1, IF(B11&gt;$B$11, 2*ABS(B11-$B$11)+1, 1/(2*ABS(B11-$B$11)+1)))</f>
        <v>1</v>
      </c>
    </row>
    <row r="7" spans="1:8">
      <c r="A7" s="1"/>
    </row>
    <row r="8" spans="1:8">
      <c r="A8" s="1"/>
    </row>
    <row r="9" spans="1:8">
      <c r="A9" s="1" t="s">
        <v>1</v>
      </c>
      <c r="B9" s="5">
        <v>1</v>
      </c>
      <c r="C9" t="s">
        <v>23</v>
      </c>
      <c r="E9" t="s">
        <v>25</v>
      </c>
    </row>
    <row r="10" spans="1:8">
      <c r="A10" s="1" t="s">
        <v>2</v>
      </c>
      <c r="B10" s="5">
        <v>2</v>
      </c>
      <c r="C10" t="s">
        <v>26</v>
      </c>
    </row>
    <row r="11" spans="1:8">
      <c r="A11" s="1" t="s">
        <v>3</v>
      </c>
      <c r="B11" s="5">
        <v>3</v>
      </c>
      <c r="C11" t="s">
        <v>24</v>
      </c>
    </row>
    <row r="12" spans="1:8">
      <c r="B12" s="5"/>
    </row>
    <row r="13" spans="1:8">
      <c r="A13" s="7" t="s">
        <v>5</v>
      </c>
      <c r="B13" s="2">
        <f>GEOMEAN(B4:D4)</f>
        <v>0.40548013303822666</v>
      </c>
      <c r="C13" s="3" t="s">
        <v>12</v>
      </c>
      <c r="D13" s="2">
        <f>B13/B16</f>
        <v>0.10472943388074786</v>
      </c>
      <c r="F13" t="s">
        <v>29</v>
      </c>
    </row>
    <row r="14" spans="1:8">
      <c r="A14" s="7" t="s">
        <v>6</v>
      </c>
      <c r="B14" s="2">
        <f>GEOMEAN(B5:D5)</f>
        <v>1</v>
      </c>
      <c r="C14" s="3" t="s">
        <v>13</v>
      </c>
      <c r="D14" s="2">
        <f>B14/B16</f>
        <v>0.25828499437449498</v>
      </c>
      <c r="F14" t="s">
        <v>31</v>
      </c>
    </row>
    <row r="15" spans="1:8">
      <c r="A15" s="7" t="s">
        <v>7</v>
      </c>
      <c r="B15" s="2">
        <f>GEOMEAN(B6:D6)</f>
        <v>2.4662120743304699</v>
      </c>
      <c r="C15" s="3" t="s">
        <v>14</v>
      </c>
      <c r="D15" s="2">
        <f>B15/B16</f>
        <v>0.63698557174475712</v>
      </c>
      <c r="F15" t="s">
        <v>30</v>
      </c>
    </row>
    <row r="16" spans="1:8">
      <c r="A16" s="7" t="s">
        <v>8</v>
      </c>
      <c r="B16" s="2">
        <f>SUM(B13:B15)</f>
        <v>3.8716922073686968</v>
      </c>
      <c r="C16" s="3"/>
    </row>
    <row r="19" spans="1:2">
      <c r="A19" t="s">
        <v>0</v>
      </c>
    </row>
    <row r="20" spans="1:2">
      <c r="A20" t="s">
        <v>15</v>
      </c>
    </row>
    <row r="22" spans="1:2">
      <c r="A22" t="s">
        <v>16</v>
      </c>
    </row>
    <row r="23" spans="1:2">
      <c r="A23" s="9" t="s">
        <v>17</v>
      </c>
      <c r="B23" s="2">
        <f>('Критерий 1'!E16*$D$13)+('Критерий 2'!E16*$D$14)+('Критерий 3'!E16*$D$15)</f>
        <v>0.15504659375325155</v>
      </c>
    </row>
    <row r="24" spans="1:2">
      <c r="A24" s="9" t="s">
        <v>18</v>
      </c>
      <c r="B24" s="2">
        <f>('Критерий 1'!E17*$D$13)+('Критерий 2'!E17*$D$14)+('Критерий 3'!E17*$D$15)</f>
        <v>0.16672392238040201</v>
      </c>
    </row>
    <row r="25" spans="1:2">
      <c r="A25" s="9" t="s">
        <v>19</v>
      </c>
      <c r="B25" s="2">
        <f>('Критерий 1'!E18*$D$13)+('Критерий 2'!E18*$D$14)+('Критерий 3'!E18*$D$15)</f>
        <v>0.25339103480446051</v>
      </c>
    </row>
    <row r="26" spans="1:2">
      <c r="A26" s="9" t="s">
        <v>20</v>
      </c>
      <c r="B26" s="2">
        <f>('Критерий 1'!E19*$D$13)+('Критерий 2'!E19*$D$14)+('Критерий 3'!E19*$D$15)</f>
        <v>0.15403542695669348</v>
      </c>
    </row>
    <row r="27" spans="1:2">
      <c r="A27" s="9" t="s">
        <v>21</v>
      </c>
      <c r="B27" s="2">
        <f>('Критерий 1'!E20*$D$13)+('Критерий 2'!E20*$D$14)+('Критерий 3'!E20*$D$15)</f>
        <v>0.27080302210519258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7" zoomScale="110" workbookViewId="0">
      <selection activeCell="C29" sqref="C29"/>
    </sheetView>
  </sheetViews>
  <sheetFormatPr defaultColWidth="11" defaultRowHeight="15.75"/>
  <sheetData>
    <row r="1" spans="1:6" ht="18.75">
      <c r="A1" s="12" t="s">
        <v>27</v>
      </c>
    </row>
    <row r="3" spans="1:6">
      <c r="B3" s="7" t="s">
        <v>28</v>
      </c>
      <c r="C3" s="7" t="s">
        <v>32</v>
      </c>
      <c r="D3" s="7" t="s">
        <v>33</v>
      </c>
      <c r="E3" s="7" t="s">
        <v>34</v>
      </c>
      <c r="F3" s="7" t="s">
        <v>35</v>
      </c>
    </row>
    <row r="4" spans="1:6">
      <c r="A4" s="1" t="s">
        <v>28</v>
      </c>
      <c r="B4" s="8">
        <f>IF($B10=$B$10, 1, IF($B10&gt;$B$10, 2*ABS($B10-$B$10)+1, 1/(2*ABS($B10-$B$10)+1)))</f>
        <v>1</v>
      </c>
      <c r="C4" s="8">
        <f>IF($B10=$B$11, 1, IF($B10&gt;$B$11, 2*ABS($B10-$B$11)+1, 1/(2*ABS($B10-$B$11)+1)))</f>
        <v>1</v>
      </c>
      <c r="D4" s="8">
        <f>IF($B10=$B$12, 1, IF($B10&gt;$B$12, 2*ABS($B10-$B$12)+1, 1/(2*ABS($B10-$B$12)+1)))</f>
        <v>3</v>
      </c>
      <c r="E4" s="8">
        <f>IF($B10=$B$13, 1, IF($B10&gt;$B$13, 2*ABS($B10-$B$13)+1, 1/(2*ABS($B10-$B$13)+1)))</f>
        <v>0.33333333333333331</v>
      </c>
      <c r="F4" s="8">
        <f>IF($B10=$B$14, 1, IF($B10&gt;$B$14, 2*ABS($B10-$B$14)+1, 1/(2*ABS($B10-$B$14)+1)))</f>
        <v>5</v>
      </c>
    </row>
    <row r="5" spans="1:6">
      <c r="A5" s="1" t="s">
        <v>32</v>
      </c>
      <c r="B5" s="8">
        <f>IF($B11=$B$10, 1, IF($B11&gt;$B$10, 2*ABS($B11-$B$10)+1, 1/(2*ABS($B11-$B$10)+1)))</f>
        <v>1</v>
      </c>
      <c r="C5" s="8">
        <f>IF($B11=$B$11, 1, IF($B11&gt;$B$11, 2*ABS($B11-$B$11)+1, 1/(2*ABS($B11-$B$11)+1)))</f>
        <v>1</v>
      </c>
      <c r="D5" s="8">
        <f>IF($B11=$B$12, 1, IF($B11&gt;$B$12, 2*ABS($B11-$B$12)+1, 1/(2*ABS($B11-$B$12)+1)))</f>
        <v>3</v>
      </c>
      <c r="E5" s="8">
        <f>IF($B11=$B$13, 1, IF($B11&gt;$B$13, 2*ABS($B11-$B$13)+1, 1/(2*ABS($B11-$B$13)+1)))</f>
        <v>0.33333333333333331</v>
      </c>
      <c r="F5" s="8">
        <f>IF($B11=$B$14, 1, IF($B11&gt;$B$14, 2*ABS($B11-$B$14)+1, 1/(2*ABS($B11-$B$14)+1)))</f>
        <v>5</v>
      </c>
    </row>
    <row r="6" spans="1:6">
      <c r="A6" s="1" t="s">
        <v>33</v>
      </c>
      <c r="B6" s="8">
        <f>IF($B12=$B$10, 1, IF($B12&gt;$B$10, 2*ABS($B12-$B$10)+1, 1/(2*ABS($B12-$B$10)+1)))</f>
        <v>0.33333333333333331</v>
      </c>
      <c r="C6" s="8">
        <f>IF($B12=$B$11, 1, IF($B12&gt;$B$11, 2*ABS($B12-$B$11)+1, 1/(2*ABS($B12-$B$11)+1)))</f>
        <v>0.33333333333333331</v>
      </c>
      <c r="D6" s="8">
        <f>IF($B12=$B$12, 1, IF($B12&gt;$B$12, 2*ABS($B12-$B$12)+1, 1/(2*ABS($B12-$B$12)+1)))</f>
        <v>1</v>
      </c>
      <c r="E6" s="8">
        <f>IF($B12=$B$13, 1, IF($B12&gt;$B$13, 2*ABS($B12-$B$13)+1, 1/(2*ABS($B12-$B$13)+1)))</f>
        <v>0.2</v>
      </c>
      <c r="F6" s="8">
        <f>IF($B12=$B$14, 1, IF($B12&gt;$B$14, 2*ABS($B12-$B$14)+1, 1/(2*ABS($B12-$B$14)+1)))</f>
        <v>3</v>
      </c>
    </row>
    <row r="7" spans="1:6">
      <c r="A7" s="1" t="s">
        <v>34</v>
      </c>
      <c r="B7" s="8">
        <f>IF($B13=$B$10, 1, IF($B13&gt;$B$10, 2*ABS($B13-$B$10)+1, 1/(2*ABS($B13-$B$10)+1)))</f>
        <v>3</v>
      </c>
      <c r="C7" s="8">
        <f>IF($B13=$B$11, 1, IF($B13&gt;$B$11, 2*ABS($B13-$B$11)+1, 1/(2*ABS($B13-$B$11)+1)))</f>
        <v>3</v>
      </c>
      <c r="D7" s="8">
        <f>IF($B13=$B$12, 1, IF($B13&gt;$B$12, 2*ABS($B13-$B$12)+1, 1/(2*ABS($B13-$B$12)+1)))</f>
        <v>5</v>
      </c>
      <c r="E7" s="8">
        <f>IF($B13=$B$13, 1, IF($B13&gt;$B$13, 2*ABS($B13-$B$13)+1, 1/(2*ABS($B13-$B$13)+1)))</f>
        <v>1</v>
      </c>
      <c r="F7" s="8">
        <f>IF($B13=$B$14, 1, IF($B13&gt;$B$14, 2*ABS($B13-$B$14)+1, 1/(2*ABS($B13-$B$14)+1)))</f>
        <v>7</v>
      </c>
    </row>
    <row r="8" spans="1:6">
      <c r="A8" s="1" t="s">
        <v>35</v>
      </c>
      <c r="B8" s="8">
        <f>IF($B14=$B$10, 1, IF($B14&gt;$B$10, 2*ABS($B14-$B$10)+1, 1/(2*ABS($B14-$B$10)+1)))</f>
        <v>0.2</v>
      </c>
      <c r="C8" s="8">
        <f>IF($B14=$B$11, 1, IF($B14&gt;$B$11, 2*ABS($B14-$B$11)+1, 1/(2*ABS($B14-$B$11)+1)))</f>
        <v>0.2</v>
      </c>
      <c r="D8" s="8">
        <f>IF($B14=$B$12, 1, IF($B14&gt;$B$12, 2*ABS($B14-$B$12)+1, 1/(2*ABS($B14-$B$12)+1)))</f>
        <v>0.33333333333333331</v>
      </c>
      <c r="E8" s="8">
        <f>IF($B14=$B$13, 1, IF($B14&gt;$B$13, 2*ABS($B14-$B$13)+1, 1/(2*ABS($B14-$B$13)+1)))</f>
        <v>0.14285714285714285</v>
      </c>
      <c r="F8" s="8">
        <f>IF($B14=$B$14, 1, IF($B14&gt;$B$14, 2*ABS($B14-$B$14)+1, 1/(2*ABS($B14-$B$14)+1)))</f>
        <v>1</v>
      </c>
    </row>
    <row r="10" spans="1:6">
      <c r="A10" s="1" t="s">
        <v>28</v>
      </c>
      <c r="B10" s="5">
        <v>3</v>
      </c>
    </row>
    <row r="11" spans="1:6">
      <c r="A11" s="1" t="s">
        <v>32</v>
      </c>
      <c r="B11" s="5">
        <v>3</v>
      </c>
    </row>
    <row r="12" spans="1:6">
      <c r="A12" s="1" t="s">
        <v>33</v>
      </c>
      <c r="B12" s="5">
        <v>2</v>
      </c>
    </row>
    <row r="13" spans="1:6">
      <c r="A13" s="1" t="s">
        <v>34</v>
      </c>
      <c r="B13" s="5">
        <v>4</v>
      </c>
    </row>
    <row r="14" spans="1:6">
      <c r="A14" s="1" t="s">
        <v>35</v>
      </c>
      <c r="B14" s="5">
        <v>1</v>
      </c>
    </row>
    <row r="16" spans="1:6">
      <c r="A16" s="10" t="s">
        <v>5</v>
      </c>
      <c r="B16" s="2">
        <f>GEOMEAN(B4:F4)</f>
        <v>1.3797296614612149</v>
      </c>
      <c r="D16" s="1" t="s">
        <v>37</v>
      </c>
      <c r="E16" s="2">
        <f>B16/B21</f>
        <v>0.20329526115203583</v>
      </c>
    </row>
    <row r="17" spans="1:5">
      <c r="A17" s="10" t="s">
        <v>9</v>
      </c>
      <c r="B17" s="2">
        <f>GEOMEAN(B5:F5)</f>
        <v>1.3797296614612149</v>
      </c>
      <c r="D17" s="1" t="s">
        <v>39</v>
      </c>
      <c r="E17" s="2">
        <f>B17/B21</f>
        <v>0.20329526115203583</v>
      </c>
    </row>
    <row r="18" spans="1:5">
      <c r="A18" s="10" t="s">
        <v>10</v>
      </c>
      <c r="B18" s="2">
        <f>GEOMEAN(B6:F6)</f>
        <v>0.5818107591526881</v>
      </c>
      <c r="D18" s="1" t="s">
        <v>38</v>
      </c>
      <c r="E18" s="2">
        <f>B18/B21</f>
        <v>8.5726482170242771E-2</v>
      </c>
    </row>
    <row r="19" spans="1:5">
      <c r="A19" s="10" t="s">
        <v>36</v>
      </c>
      <c r="B19" s="2">
        <f>GEOMEAN(B7:F7)</f>
        <v>3.1598183057492712</v>
      </c>
      <c r="D19" s="1" t="s">
        <v>40</v>
      </c>
      <c r="E19" s="2">
        <f>B19/B21</f>
        <v>0.46558112476901264</v>
      </c>
    </row>
    <row r="20" spans="1:5">
      <c r="A20" s="10" t="s">
        <v>11</v>
      </c>
      <c r="B20" s="2">
        <f>GEOMEAN(B8:F8)</f>
        <v>0.28573809127083305</v>
      </c>
      <c r="D20" s="1" t="s">
        <v>41</v>
      </c>
      <c r="E20" s="2">
        <f>B20/B21</f>
        <v>4.2101870756672995E-2</v>
      </c>
    </row>
    <row r="21" spans="1:5">
      <c r="A21" s="10" t="s">
        <v>8</v>
      </c>
      <c r="B21" s="2">
        <f>SUM(B16:B20)</f>
        <v>6.7868264790952217</v>
      </c>
    </row>
    <row r="24" spans="1:5">
      <c r="A24" t="s">
        <v>0</v>
      </c>
    </row>
    <row r="25" spans="1:5">
      <c r="A25" t="s">
        <v>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7" workbookViewId="0">
      <selection activeCell="C10" sqref="C10"/>
    </sheetView>
  </sheetViews>
  <sheetFormatPr defaultColWidth="11" defaultRowHeight="15.75"/>
  <sheetData>
    <row r="1" spans="1:6" ht="18.75">
      <c r="A1" s="12" t="s">
        <v>55</v>
      </c>
    </row>
    <row r="3" spans="1:6">
      <c r="B3" s="7" t="s">
        <v>28</v>
      </c>
      <c r="C3" s="7" t="s">
        <v>32</v>
      </c>
      <c r="D3" s="7" t="s">
        <v>33</v>
      </c>
      <c r="E3" s="7" t="s">
        <v>34</v>
      </c>
      <c r="F3" s="7" t="s">
        <v>35</v>
      </c>
    </row>
    <row r="4" spans="1:6">
      <c r="A4" s="1" t="s">
        <v>28</v>
      </c>
      <c r="B4" s="8">
        <f>IF($B10=$B$10, 1, IF($B10&gt;$B$10, 2*ABS($B10-$B$10)+1, 1/(2*ABS($B10-$B$10)+1)))</f>
        <v>1</v>
      </c>
      <c r="C4" s="8">
        <f>IF($B10=$B$11, 1, IF($B10&gt;$B$11, 2*ABS($B10-$B$11)+1, 1/(2*ABS($B10-$B$11)+1)))</f>
        <v>0.33333333333333331</v>
      </c>
      <c r="D4" s="8">
        <f>IF($B10=$B$12, 1, IF($B10&gt;$B$12, 2*ABS($B10-$B$12)+1, 1/(2*ABS($B10-$B$12)+1)))</f>
        <v>3</v>
      </c>
      <c r="E4" s="8">
        <f>IF($B10=$B$13, 1, IF($B10&gt;$B$13, 2*ABS($B10-$B$13)+1, 1/(2*ABS($B10-$B$13)+1)))</f>
        <v>0.5</v>
      </c>
      <c r="F4" s="8">
        <f>IF($B10=$B$14, 1, IF($B10&gt;$B$14, 2*ABS($B10-$B$14)+1, 1/(2*ABS($B10-$B$14)+1)))</f>
        <v>1</v>
      </c>
    </row>
    <row r="5" spans="1:6">
      <c r="A5" s="1" t="s">
        <v>32</v>
      </c>
      <c r="B5" s="8">
        <f>IF($B11=$B$10, 1, IF($B11&gt;$B$10, 2*ABS($B11-$B$10)+1, 1/(2*ABS($B11-$B$10)+1)))</f>
        <v>3</v>
      </c>
      <c r="C5" s="8">
        <f>IF($B11=$B$11, 1, IF($B11&gt;$B$11, 2*ABS($B11-$B$11)+1, 1/(2*ABS($B11-$B$11)+1)))</f>
        <v>1</v>
      </c>
      <c r="D5" s="8">
        <f>IF($B11=$B$12, 1, IF($B11&gt;$B$12, 2*ABS($B11-$B$12)+1, 1/(2*ABS($B11-$B$12)+1)))</f>
        <v>5</v>
      </c>
      <c r="E5" s="8">
        <f>IF($B11=$B$13, 1, IF($B11&gt;$B$13, 2*ABS($B11-$B$13)+1, 1/(2*ABS($B11-$B$13)+1)))</f>
        <v>2</v>
      </c>
      <c r="F5" s="8">
        <f>IF($B11=$B$14, 1, IF($B11&gt;$B$14, 2*ABS($B11-$B$14)+1, 1/(2*ABS($B11-$B$14)+1)))</f>
        <v>3</v>
      </c>
    </row>
    <row r="6" spans="1:6">
      <c r="A6" s="1" t="s">
        <v>33</v>
      </c>
      <c r="B6" s="8">
        <f>IF($B12=$B$10, 1, IF($B12&gt;$B$10, 2*ABS($B12-$B$10)+1, 1/(2*ABS($B12-$B$10)+1)))</f>
        <v>0.33333333333333331</v>
      </c>
      <c r="C6" s="8">
        <f>IF($B12=$B$11, 1, IF($B12&gt;$B$11, 2*ABS($B12-$B$11)+1, 1/(2*ABS($B12-$B$11)+1)))</f>
        <v>0.2</v>
      </c>
      <c r="D6" s="8">
        <f>IF($B12=$B$12, 1, IF($B12&gt;$B$12, 2*ABS($B12-$B$12)+1, 1/(2*ABS($B12-$B$12)+1)))</f>
        <v>1</v>
      </c>
      <c r="E6" s="8">
        <f>IF($B12=$B$13, 1, IF($B12&gt;$B$13, 2*ABS($B12-$B$13)+1, 1/(2*ABS($B12-$B$13)+1)))</f>
        <v>0.25</v>
      </c>
      <c r="F6" s="8">
        <f>IF($B12=$B$14, 1, IF($B12&gt;$B$14, 2*ABS($B12-$B$14)+1, 1/(2*ABS($B12-$B$14)+1)))</f>
        <v>0.33333333333333331</v>
      </c>
    </row>
    <row r="7" spans="1:6">
      <c r="A7" s="1" t="s">
        <v>34</v>
      </c>
      <c r="B7" s="8">
        <f>IF($B13=$B$10, 1, IF($B13&gt;$B$10, 2*ABS($B13-$B$10)+1, 1/(2*ABS($B13-$B$10)+1)))</f>
        <v>2</v>
      </c>
      <c r="C7" s="8">
        <f>IF($B13=$B$11, 1, IF($B13&gt;$B$11, 2*ABS($B13-$B$11)+1, 1/(2*ABS($B13-$B$11)+1)))</f>
        <v>0.5</v>
      </c>
      <c r="D7" s="8">
        <f>IF($B13=$B$12, 1, IF($B13&gt;$B$12, 2*ABS($B13-$B$12)+1, 1/(2*ABS($B13-$B$12)+1)))</f>
        <v>4</v>
      </c>
      <c r="E7" s="8">
        <f>IF($B13=$B$13, 1, IF($B13&gt;$B$13, 2*ABS($B13-$B$13)+1, 1/(2*ABS($B13-$B$13)+1)))</f>
        <v>1</v>
      </c>
      <c r="F7" s="8">
        <f>IF($B13=$B$14, 1, IF($B13&gt;$B$14, 2*ABS($B13-$B$14)+1, 1/(2*ABS($B13-$B$14)+1)))</f>
        <v>2</v>
      </c>
    </row>
    <row r="8" spans="1:6">
      <c r="A8" s="1" t="s">
        <v>35</v>
      </c>
      <c r="B8" s="8">
        <f>IF($B14=$B$10, 1, IF($B14&gt;$B$10, 2*ABS($B14-$B$10)+1, 1/(2*ABS($B14-$B$10)+1)))</f>
        <v>1</v>
      </c>
      <c r="C8" s="8">
        <f>IF($B14=$B$11, 1, IF($B14&gt;$B$11, 2*ABS($B14-$B$11)+1, 1/(2*ABS($B14-$B$11)+1)))</f>
        <v>0.33333333333333331</v>
      </c>
      <c r="D8" s="8">
        <f>IF($B14=$B$12, 1, IF($B14&gt;$B$12, 2*ABS($B14-$B$12)+1, 1/(2*ABS($B14-$B$12)+1)))</f>
        <v>3</v>
      </c>
      <c r="E8" s="8">
        <f>IF($B14=$B$13, 1, IF($B14&gt;$B$13, 2*ABS($B14-$B$13)+1, 1/(2*ABS($B14-$B$13)+1)))</f>
        <v>0.5</v>
      </c>
      <c r="F8" s="8">
        <f>IF($B14=$B$14, 1, IF($B14&gt;$B$14, 2*ABS($B14-$B$14)+1, 1/(2*ABS($B14-$B$14)+1)))</f>
        <v>1</v>
      </c>
    </row>
    <row r="10" spans="1:6">
      <c r="A10" s="1" t="s">
        <v>28</v>
      </c>
      <c r="B10" s="5">
        <v>2</v>
      </c>
    </row>
    <row r="11" spans="1:6">
      <c r="A11" s="1" t="s">
        <v>32</v>
      </c>
      <c r="B11" s="5">
        <v>3</v>
      </c>
    </row>
    <row r="12" spans="1:6">
      <c r="A12" s="1" t="s">
        <v>33</v>
      </c>
      <c r="B12" s="5">
        <v>1</v>
      </c>
    </row>
    <row r="13" spans="1:6">
      <c r="A13" s="1" t="s">
        <v>34</v>
      </c>
      <c r="B13" s="5">
        <v>2.5</v>
      </c>
    </row>
    <row r="14" spans="1:6">
      <c r="A14" s="1" t="s">
        <v>35</v>
      </c>
      <c r="B14" s="5">
        <v>2</v>
      </c>
    </row>
    <row r="16" spans="1:6">
      <c r="A16" s="10" t="s">
        <v>5</v>
      </c>
      <c r="B16" s="2">
        <f>GEOMEAN(B4:F4)</f>
        <v>0.87055056329612412</v>
      </c>
      <c r="D16" s="9" t="s">
        <v>42</v>
      </c>
      <c r="E16" s="2">
        <f>B16/B21</f>
        <v>0.14341192649479642</v>
      </c>
    </row>
    <row r="17" spans="1:5">
      <c r="A17" s="10" t="s">
        <v>9</v>
      </c>
      <c r="B17" s="2">
        <f>GEOMEAN(B5:F5)</f>
        <v>2.4595094858493631</v>
      </c>
      <c r="D17" s="9" t="s">
        <v>43</v>
      </c>
      <c r="E17" s="2">
        <f>B17/B21</f>
        <v>0.40517232251551838</v>
      </c>
    </row>
    <row r="18" spans="1:5">
      <c r="A18" s="10" t="s">
        <v>10</v>
      </c>
      <c r="B18" s="2">
        <f>GEOMEAN(B6:F6)</f>
        <v>0.35395291959831149</v>
      </c>
      <c r="D18" s="9" t="s">
        <v>44</v>
      </c>
      <c r="E18" s="2">
        <f>B18/B21</f>
        <v>5.8309157708034111E-2</v>
      </c>
    </row>
    <row r="19" spans="1:5">
      <c r="A19" s="10" t="s">
        <v>36</v>
      </c>
      <c r="B19" s="2">
        <f>GEOMEAN(B7:F7)</f>
        <v>1.515716566510398</v>
      </c>
      <c r="D19" s="9" t="s">
        <v>45</v>
      </c>
      <c r="E19" s="2">
        <f>B19/B21</f>
        <v>0.24969466678685473</v>
      </c>
    </row>
    <row r="20" spans="1:5">
      <c r="A20" s="10" t="s">
        <v>11</v>
      </c>
      <c r="B20" s="2">
        <f>GEOMEAN(B8:F8)</f>
        <v>0.87055056329612412</v>
      </c>
      <c r="D20" s="9" t="s">
        <v>46</v>
      </c>
      <c r="E20" s="2">
        <f>B20/B21</f>
        <v>0.14341192649479642</v>
      </c>
    </row>
    <row r="21" spans="1:5">
      <c r="A21" s="10" t="s">
        <v>8</v>
      </c>
      <c r="B21" s="2">
        <f>SUM(B16:B20)</f>
        <v>6.0702800985503202</v>
      </c>
    </row>
    <row r="24" spans="1:5">
      <c r="A24" t="s">
        <v>0</v>
      </c>
    </row>
    <row r="25" spans="1:5">
      <c r="A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10" zoomScaleNormal="100" workbookViewId="0">
      <selection activeCell="F7" sqref="F7"/>
    </sheetView>
  </sheetViews>
  <sheetFormatPr defaultColWidth="11" defaultRowHeight="15.75"/>
  <sheetData>
    <row r="1" spans="1:11" ht="18.75">
      <c r="A1" s="12" t="s">
        <v>56</v>
      </c>
    </row>
    <row r="3" spans="1:11">
      <c r="B3" s="7" t="s">
        <v>28</v>
      </c>
      <c r="C3" s="7" t="s">
        <v>32</v>
      </c>
      <c r="D3" s="7" t="s">
        <v>33</v>
      </c>
      <c r="E3" s="7" t="s">
        <v>34</v>
      </c>
      <c r="F3" s="7" t="s">
        <v>35</v>
      </c>
    </row>
    <row r="4" spans="1:11">
      <c r="A4" s="1" t="s">
        <v>28</v>
      </c>
      <c r="B4" s="8">
        <f>IF($B10=$B$10, 1, IF($B10&gt;$B$10, 2*ABS($B10-$B$10)+1, 1/(2*ABS($B10-$B$10)+1)))</f>
        <v>1</v>
      </c>
      <c r="C4" s="8">
        <f>IF($B10=$B$11, 1, IF($B10&gt;$B$11, 2*ABS($B10-$B$11)+1, 1/(2*ABS($B10-$B$11)+1)))</f>
        <v>3</v>
      </c>
      <c r="D4" s="8">
        <f>IF($B10=$B$12, 1, IF($B10&gt;$B$12, 2*ABS($B10-$B$12)+1, 1/(2*ABS($B10-$B$12)+1)))</f>
        <v>0.33333333333333331</v>
      </c>
      <c r="E4" s="8">
        <f>IF($B10=$B$13, 1, IF($B10&gt;$B$13, 2*ABS($B10-$B$13)+1, 1/(2*ABS($B10-$B$13)+1)))</f>
        <v>3</v>
      </c>
      <c r="F4" s="8">
        <f>IF($B10=$B$14, 1, IF($B10&gt;$B$14, 2*ABS($B10-$B$14)+1, 1/(2*ABS($B10-$B$14)+1)))</f>
        <v>0.33333333333333331</v>
      </c>
    </row>
    <row r="5" spans="1:11">
      <c r="A5" s="1" t="s">
        <v>32</v>
      </c>
      <c r="B5" s="8">
        <f>IF($B11=$B$10, 1, IF($B11&gt;$B$10, 2*ABS($B11-$B$10)+1, 1/(2*ABS($B11-$B$10)+1)))</f>
        <v>0.33333333333333331</v>
      </c>
      <c r="C5" s="8">
        <f>IF($B11=$B$11, 1, IF($B11&gt;$B$11, 2*ABS($B11-$B$11)+1, 1/(2*ABS($B11-$B$11)+1)))</f>
        <v>1</v>
      </c>
      <c r="D5" s="8">
        <f>IF($B11=$B$12, 1, IF($B11&gt;$B$12, 2*ABS($B11-$B$12)+1, 1/(2*ABS($B11-$B$12)+1)))</f>
        <v>0.2</v>
      </c>
      <c r="E5" s="8">
        <f>IF($B11=$B$13, 1, IF($B11&gt;$B$13, 2*ABS($B11-$B$13)+1, 1/(2*ABS($B11-$B$13)+1)))</f>
        <v>1</v>
      </c>
      <c r="F5" s="8">
        <f>IF($B11=$B$14, 1, IF($B11&gt;$B$14, 2*ABS($B11-$B$14)+1, 1/(2*ABS($B11-$B$14)+1)))</f>
        <v>0.2</v>
      </c>
    </row>
    <row r="6" spans="1:11">
      <c r="A6" s="1" t="s">
        <v>33</v>
      </c>
      <c r="B6" s="8">
        <f>IF($B12=$B$10, 1, IF($B12&gt;$B$10, 2*ABS($B12-$B$10)+1, 1/(2*ABS($B12-$B$10)+1)))</f>
        <v>3</v>
      </c>
      <c r="C6" s="8">
        <f>IF($B12=$B$11, 1, IF($B12&gt;$B$11, 2*ABS($B12-$B$11)+1, 1/(2*ABS($B12-$B$11)+1)))</f>
        <v>5</v>
      </c>
      <c r="D6" s="8">
        <f>IF($B12=$B$12, 1, IF($B12&gt;$B$12, 2*ABS($B12-$B$12)+1, 1/(2*ABS($B12-$B$12)+1)))</f>
        <v>1</v>
      </c>
      <c r="E6" s="8">
        <f>IF($B12=$B$13, 1, IF($B12&gt;$B$13, 2*ABS($B12-$B$13)+1, 1/(2*ABS($B12-$B$13)+1)))</f>
        <v>5</v>
      </c>
      <c r="F6" s="8">
        <f>IF($B12=$B$14, 1, IF($B12&gt;$B$14, 2*ABS($B12-$B$14)+1, 1/(2*ABS($B12-$B$14)+1)))</f>
        <v>1</v>
      </c>
    </row>
    <row r="7" spans="1:11">
      <c r="A7" s="1" t="s">
        <v>34</v>
      </c>
      <c r="B7" s="8">
        <f>IF($B13=$B$10, 1, IF($B13&gt;$B$10, 2*ABS($B13-$B$10)+1, 1/(2*ABS($B13-$B$10)+1)))</f>
        <v>0.33333333333333331</v>
      </c>
      <c r="C7" s="8">
        <f>IF($B13=$B$11, 1, IF($B13&gt;$B$11, 2*ABS($B13-$B$11)+1, 1/(2*ABS($B13-$B$11)+1)))</f>
        <v>1</v>
      </c>
      <c r="D7" s="8">
        <f>IF($B13=$B$12, 1, IF($B13&gt;$B$12, 2*ABS($B13-$B$12)+1, 1/(2*ABS($B13-$B$12)+1)))</f>
        <v>0.2</v>
      </c>
      <c r="E7" s="8">
        <f>IF($B13=$B$13, 1, IF($B13&gt;$B$13, 2*ABS($B13-$B$13)+1, 1/(2*ABS($B13-$B$13)+1)))</f>
        <v>1</v>
      </c>
      <c r="F7" s="8">
        <f>IF($B13=$B$14, 1, IF($B13&gt;$B$14, 2*ABS($B13-$B$14)+1, 1/(2*ABS($B13-$B$14)+1)))</f>
        <v>0.2</v>
      </c>
    </row>
    <row r="8" spans="1:11">
      <c r="A8" s="1" t="s">
        <v>35</v>
      </c>
      <c r="B8" s="8">
        <f>IF($B14=$B$10, 1, IF($B14&gt;$B$10, 2*ABS($B14-$B$10)+1, 1/(2*ABS($B14-$B$10)+1)))</f>
        <v>3</v>
      </c>
      <c r="C8" s="8">
        <f>IF($B14=$B$11, 1, IF($B14&gt;$B$11, 2*ABS($B14-$B$11)+1, 1/(2*ABS($B14-$B$11)+1)))</f>
        <v>5</v>
      </c>
      <c r="D8" s="8">
        <f>IF($B14=$B$12, 1, IF($B14&gt;$B$12, 2*ABS($B14-$B$12)+1, 1/(2*ABS($B14-$B$12)+1)))</f>
        <v>1</v>
      </c>
      <c r="E8" s="8">
        <f>IF($B14=$B$13, 1, IF($B14&gt;$B$13, 2*ABS($B14-$B$13)+1, 1/(2*ABS($B14-$B$13)+1)))</f>
        <v>5</v>
      </c>
      <c r="F8" s="8">
        <f>IF($B14=$B$14, 1, IF($B14&gt;$B$14, 2*ABS($B14-$B$14)+1, 1/(2*ABS($B14-$B$14)+1)))</f>
        <v>1</v>
      </c>
    </row>
    <row r="10" spans="1:11">
      <c r="A10" s="1" t="s">
        <v>28</v>
      </c>
      <c r="B10" s="5">
        <v>2</v>
      </c>
    </row>
    <row r="11" spans="1:11">
      <c r="A11" s="1" t="s">
        <v>32</v>
      </c>
      <c r="B11" s="5">
        <v>1</v>
      </c>
      <c r="J11" s="3"/>
      <c r="K11" s="2"/>
    </row>
    <row r="12" spans="1:11">
      <c r="A12" s="1" t="s">
        <v>33</v>
      </c>
      <c r="B12" s="5">
        <v>3</v>
      </c>
      <c r="J12" s="3"/>
      <c r="K12" s="2"/>
    </row>
    <row r="13" spans="1:11">
      <c r="A13" s="1" t="s">
        <v>34</v>
      </c>
      <c r="B13" s="5">
        <v>1</v>
      </c>
      <c r="J13" s="3"/>
      <c r="K13" s="2"/>
    </row>
    <row r="14" spans="1:11">
      <c r="A14" s="1" t="s">
        <v>35</v>
      </c>
      <c r="B14" s="5">
        <v>3</v>
      </c>
      <c r="J14" s="3"/>
      <c r="K14" s="2"/>
    </row>
    <row r="15" spans="1:11">
      <c r="J15" s="3"/>
      <c r="K15" s="2"/>
    </row>
    <row r="16" spans="1:11">
      <c r="A16" s="10" t="s">
        <v>5</v>
      </c>
      <c r="B16" s="2">
        <f>GEOMEAN(B4:F4)</f>
        <v>1</v>
      </c>
      <c r="D16" s="9" t="s">
        <v>47</v>
      </c>
      <c r="E16" s="2">
        <f>B16/B21</f>
        <v>0.15183145710711635</v>
      </c>
    </row>
    <row r="17" spans="1:5">
      <c r="A17" s="10" t="s">
        <v>9</v>
      </c>
      <c r="B17" s="2">
        <f>GEOMEAN(B5:F5)</f>
        <v>0.42168460634274996</v>
      </c>
      <c r="D17" s="9" t="s">
        <v>48</v>
      </c>
      <c r="E17" s="2">
        <f>B17/B21</f>
        <v>6.4024988220660481E-2</v>
      </c>
    </row>
    <row r="18" spans="1:5">
      <c r="A18" s="10" t="s">
        <v>10</v>
      </c>
      <c r="B18" s="2">
        <f>GEOMEAN(B6:F6)</f>
        <v>2.3714406097793117</v>
      </c>
      <c r="D18" s="9" t="s">
        <v>49</v>
      </c>
      <c r="E18" s="2">
        <f>B18/B21</f>
        <v>0.3600592832257814</v>
      </c>
    </row>
    <row r="19" spans="1:5">
      <c r="A19" s="10" t="s">
        <v>36</v>
      </c>
      <c r="B19" s="2">
        <f>GEOMEAN(B7:F7)</f>
        <v>0.42168460634274996</v>
      </c>
      <c r="D19" s="9" t="s">
        <v>50</v>
      </c>
      <c r="E19" s="2">
        <f>B19/B21</f>
        <v>6.4024988220660481E-2</v>
      </c>
    </row>
    <row r="20" spans="1:5">
      <c r="A20" s="10" t="s">
        <v>11</v>
      </c>
      <c r="B20" s="2">
        <f>GEOMEAN(B8:F8)</f>
        <v>2.3714406097793117</v>
      </c>
      <c r="D20" s="9" t="s">
        <v>51</v>
      </c>
      <c r="E20" s="2">
        <f>B20/B21</f>
        <v>0.3600592832257814</v>
      </c>
    </row>
    <row r="21" spans="1:5">
      <c r="A21" s="10" t="s">
        <v>8</v>
      </c>
      <c r="B21" s="2">
        <f>SUM(B16:B20)</f>
        <v>6.5862504322441229</v>
      </c>
    </row>
    <row r="24" spans="1:5">
      <c r="A24" t="s">
        <v>0</v>
      </c>
    </row>
    <row r="25" spans="1:5">
      <c r="A25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Критерии</vt:lpstr>
      <vt:lpstr>Критерий 1</vt:lpstr>
      <vt:lpstr>Критерий 2</vt:lpstr>
      <vt:lpstr>Критерий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Ulyana Procopuk</dc:creator>
  <cp:lastModifiedBy>Artem Ermolenko</cp:lastModifiedBy>
  <dcterms:created xsi:type="dcterms:W3CDTF">2024-10-19T13:57:14Z</dcterms:created>
  <dcterms:modified xsi:type="dcterms:W3CDTF">2025-06-28T07:29:33Z</dcterms:modified>
</cp:coreProperties>
</file>