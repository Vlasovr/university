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filterPrivacy="1"/>
  <xr:revisionPtr revIDLastSave="0" documentId="13_ncr:1_{00DDFDC6-CA0B-414B-875C-EAF4C0110DED}" xr6:coauthVersionLast="47" xr6:coauthVersionMax="47" xr10:uidLastSave="{00000000-0000-0000-0000-000000000000}"/>
  <bookViews>
    <workbookView xWindow="2660" yWindow="500" windowWidth="24120" windowHeight="15440" activeTab="2" xr2:uid="{00000000-000D-0000-FFFF-FFFF00000000}"/>
  </bookViews>
  <sheets>
    <sheet name="Метод Саати" sheetId="1" r:id="rId1"/>
    <sheet name="Метод предпочтений" sheetId="2" r:id="rId2"/>
    <sheet name="Метод ранг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B12" i="3"/>
  <c r="B18" i="3" s="1"/>
  <c r="H18" i="3" s="1"/>
  <c r="B11" i="3"/>
  <c r="B17" i="3" s="1"/>
  <c r="H17" i="3" s="1"/>
  <c r="B10" i="3"/>
  <c r="B16" i="3" s="1"/>
  <c r="H16" i="3" s="1"/>
  <c r="B9" i="3"/>
  <c r="E22" i="2"/>
  <c r="E21" i="2"/>
  <c r="E20" i="2"/>
  <c r="B20" i="2"/>
  <c r="B14" i="2"/>
  <c r="E14" i="2"/>
  <c r="B18" i="2"/>
  <c r="B10" i="2"/>
  <c r="G20" i="1"/>
  <c r="C4" i="1"/>
  <c r="B14" i="1"/>
  <c r="B10" i="1"/>
  <c r="B6" i="1"/>
  <c r="B18" i="1"/>
  <c r="B19" i="1"/>
  <c r="B20" i="1"/>
  <c r="B21" i="1"/>
  <c r="B23" i="2"/>
  <c r="E12" i="2"/>
  <c r="D12" i="2"/>
  <c r="C12" i="2"/>
  <c r="B15" i="2" s="1"/>
  <c r="B12" i="2"/>
  <c r="E11" i="2"/>
  <c r="D11" i="2"/>
  <c r="C11" i="2"/>
  <c r="B11" i="2"/>
  <c r="E10" i="2"/>
  <c r="D10" i="2"/>
  <c r="B16" i="2" s="1"/>
  <c r="C10" i="2"/>
  <c r="C7" i="1"/>
  <c r="B7" i="1"/>
  <c r="C6" i="1"/>
  <c r="E4" i="1"/>
  <c r="B22" i="2"/>
  <c r="B21" i="2"/>
  <c r="H15" i="3" l="1"/>
  <c r="E17" i="3"/>
  <c r="E15" i="3"/>
  <c r="E16" i="3"/>
  <c r="B17" i="2"/>
  <c r="B13" i="3"/>
  <c r="B13" i="1"/>
  <c r="B11" i="1"/>
  <c r="E6" i="1"/>
  <c r="B12" i="1" l="1"/>
  <c r="E10" i="1"/>
  <c r="E15" i="2"/>
  <c r="E16" i="2"/>
  <c r="E17" i="2"/>
  <c r="E11" i="3"/>
  <c r="E9" i="3"/>
  <c r="E10" i="3"/>
  <c r="E12" i="3"/>
  <c r="E11" i="1" l="1"/>
  <c r="E13" i="1"/>
  <c r="E12" i="1"/>
  <c r="G18" i="1" l="1"/>
  <c r="G19" i="1" s="1"/>
</calcChain>
</file>

<file path=xl/sharedStrings.xml><?xml version="1.0" encoding="utf-8"?>
<sst xmlns="http://schemas.openxmlformats.org/spreadsheetml/2006/main" count="114" uniqueCount="67">
  <si>
    <t>А1</t>
  </si>
  <si>
    <t>А2</t>
  </si>
  <si>
    <t>А3</t>
  </si>
  <si>
    <t>А4</t>
  </si>
  <si>
    <t>С1=</t>
  </si>
  <si>
    <t>С2=</t>
  </si>
  <si>
    <t>С3=</t>
  </si>
  <si>
    <t>С4=</t>
  </si>
  <si>
    <t>C=</t>
  </si>
  <si>
    <t>V1=</t>
  </si>
  <si>
    <t>V2=</t>
  </si>
  <si>
    <t>V3=</t>
  </si>
  <si>
    <t>V4=</t>
  </si>
  <si>
    <t>R1=</t>
  </si>
  <si>
    <t>R2=</t>
  </si>
  <si>
    <t>R3=</t>
  </si>
  <si>
    <t>R4=</t>
  </si>
  <si>
    <t>λ=</t>
  </si>
  <si>
    <t>ИС=</t>
  </si>
  <si>
    <t>N=</t>
  </si>
  <si>
    <t>ОС=</t>
  </si>
  <si>
    <t>Матрица экспертных оценок для метода предпочтений</t>
  </si>
  <si>
    <t>Преобразованная матрица экспертных оценок</t>
  </si>
  <si>
    <t>С=</t>
  </si>
  <si>
    <t>M=</t>
  </si>
  <si>
    <t>S3=</t>
  </si>
  <si>
    <t>S4=</t>
  </si>
  <si>
    <t>S2=</t>
  </si>
  <si>
    <t>S1=</t>
  </si>
  <si>
    <t>S=</t>
  </si>
  <si>
    <t>A=</t>
  </si>
  <si>
    <t>W=</t>
  </si>
  <si>
    <t>M-Число экспертов</t>
  </si>
  <si>
    <t>С-Сумма преобразованных оценок</t>
  </si>
  <si>
    <t>A-Вспомогательная величина</t>
  </si>
  <si>
    <t>S-Вспомогательная величина</t>
  </si>
  <si>
    <t>Матрица экспертных оценок для метода ранга</t>
  </si>
  <si>
    <t>Dэ1=</t>
  </si>
  <si>
    <t>Dэ2=</t>
  </si>
  <si>
    <t>Dэ3=</t>
  </si>
  <si>
    <t>Da1=</t>
  </si>
  <si>
    <t>Da2=</t>
  </si>
  <si>
    <t>Da3=</t>
  </si>
  <si>
    <t>Da4=</t>
  </si>
  <si>
    <t>Прокопюк Ульяна Викторовна 150541 Вариант 1</t>
  </si>
  <si>
    <t>Банковский кредит</t>
  </si>
  <si>
    <t>Продажа помещений</t>
  </si>
  <si>
    <t>Аренда помещений</t>
  </si>
  <si>
    <t>Продажа части акций</t>
  </si>
  <si>
    <t>Кредит</t>
  </si>
  <si>
    <t>N-Число альтернатив</t>
  </si>
  <si>
    <t>V-Веса альтернатив</t>
  </si>
  <si>
    <t>Матрица парных сравнений</t>
  </si>
  <si>
    <t>Цены альтернатив</t>
  </si>
  <si>
    <t>Веса альтернатив</t>
  </si>
  <si>
    <t>Проверка экспертных оценок на непротиворечивость</t>
  </si>
  <si>
    <t>Суммы столбцов матрицы парных сравнений</t>
  </si>
  <si>
    <t>вспомогательная величина</t>
  </si>
  <si>
    <t>индекс согласованности</t>
  </si>
  <si>
    <t>отношение согласованности</t>
  </si>
  <si>
    <t>количество альтернатив</t>
  </si>
  <si>
    <t>A1=</t>
  </si>
  <si>
    <t>A2=</t>
  </si>
  <si>
    <t>A3=</t>
  </si>
  <si>
    <t>A4=</t>
  </si>
  <si>
    <t>CлС=</t>
  </si>
  <si>
    <t>W-Коэфициент конкордации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</si>
</sst>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 (Основной текст)"/>
      <charset val="204"/>
    </font>
    <font>
      <b/>
      <sz val="13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164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right" vertic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 indent="1"/>
    </xf>
    <xf numFmtId="0" fontId="0" fillId="0" borderId="0" xfId="0" applyAlignment="1">
      <alignment horizontal="left" indent="4"/>
    </xf>
    <xf numFmtId="0" fontId="6" fillId="0" borderId="0" xfId="0" applyFont="1"/>
    <xf numFmtId="0" fontId="0" fillId="0" borderId="0" xfId="0" applyAlignment="1">
      <alignment horizontal="left" vertical="center" indent="1"/>
    </xf>
    <xf numFmtId="0" fontId="7" fillId="0" borderId="0" xfId="0" applyFont="1"/>
    <xf numFmtId="0" fontId="8" fillId="0" borderId="0" xfId="0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259080</xdr:colOff>
      <xdr:row>16</xdr:row>
      <xdr:rowOff>11430</xdr:rowOff>
    </xdr:from>
    <xdr:ext cx="349006" cy="1751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SpPr txBox="1"/>
          </xdr:nvSpPr>
          <xdr:spPr>
            <a:xfrm>
              <a:off x="259080" y="2937510"/>
              <a:ext cx="349006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</m:acc>
                    <m:r>
                      <a:rPr lang="en-US" sz="1100" b="0" i="1">
                        <a:latin typeface="Cambria Math" panose="02040503050406030204" pitchFamily="18" charset="0"/>
                      </a:rPr>
                      <m:t>3=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259080" y="2937510"/>
              <a:ext cx="349006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𝑋</a:t>
              </a:r>
              <a:r>
                <a:rPr lang="ru-RU" sz="1100" b="0" i="0">
                  <a:latin typeface="Cambria Math" panose="02040503050406030204" pitchFamily="18" charset="0"/>
                </a:rPr>
                <a:t> ̅</a:t>
              </a:r>
              <a:r>
                <a:rPr lang="en-US" sz="1100" b="0" i="0">
                  <a:latin typeface="Cambria Math" panose="02040503050406030204" pitchFamily="18" charset="0"/>
                </a:rPr>
                <a:t>3=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259080</xdr:colOff>
      <xdr:row>14</xdr:row>
      <xdr:rowOff>15240</xdr:rowOff>
    </xdr:from>
    <xdr:ext cx="349006" cy="1751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0000000-0008-0000-0200-000003000000}"/>
                </a:ext>
              </a:extLst>
            </xdr:cNvPr>
            <xdr:cNvSpPr txBox="1"/>
          </xdr:nvSpPr>
          <xdr:spPr>
            <a:xfrm>
              <a:off x="259080" y="2575560"/>
              <a:ext cx="349006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</m:acc>
                    <m:r>
                      <a:rPr lang="en-US" sz="1100" b="0" i="1">
                        <a:latin typeface="Cambria Math" panose="02040503050406030204" pitchFamily="18" charset="0"/>
                      </a:rPr>
                      <m:t>1=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" name="TextBox 2"/>
            <xdr:cNvSpPr txBox="1"/>
          </xdr:nvSpPr>
          <xdr:spPr>
            <a:xfrm>
              <a:off x="259080" y="2575560"/>
              <a:ext cx="349006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𝑋</a:t>
              </a:r>
              <a:r>
                <a:rPr lang="ru-RU" sz="1100" b="0" i="0">
                  <a:latin typeface="Cambria Math" panose="02040503050406030204" pitchFamily="18" charset="0"/>
                </a:rPr>
                <a:t> ̅</a:t>
              </a:r>
              <a:r>
                <a:rPr lang="en-US" sz="1100" b="0" i="0">
                  <a:latin typeface="Cambria Math" panose="02040503050406030204" pitchFamily="18" charset="0"/>
                </a:rPr>
                <a:t>1=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266700</xdr:colOff>
      <xdr:row>15</xdr:row>
      <xdr:rowOff>22860</xdr:rowOff>
    </xdr:from>
    <xdr:ext cx="349006" cy="1751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 txBox="1"/>
          </xdr:nvSpPr>
          <xdr:spPr>
            <a:xfrm>
              <a:off x="266700" y="2766060"/>
              <a:ext cx="349006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</m:acc>
                    <m:r>
                      <a:rPr lang="en-US" sz="1100" b="0" i="1">
                        <a:latin typeface="Cambria Math" panose="02040503050406030204" pitchFamily="18" charset="0"/>
                      </a:rPr>
                      <m:t>2=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4" name="TextBox 3"/>
            <xdr:cNvSpPr txBox="1"/>
          </xdr:nvSpPr>
          <xdr:spPr>
            <a:xfrm>
              <a:off x="266700" y="2766060"/>
              <a:ext cx="349006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𝑋</a:t>
              </a:r>
              <a:r>
                <a:rPr lang="ru-RU" sz="1100" b="0" i="0">
                  <a:latin typeface="Cambria Math" panose="02040503050406030204" pitchFamily="18" charset="0"/>
                </a:rPr>
                <a:t> ̅</a:t>
              </a:r>
              <a:r>
                <a:rPr lang="en-US" sz="1100" b="0" i="0">
                  <a:latin typeface="Cambria Math" panose="02040503050406030204" pitchFamily="18" charset="0"/>
                </a:rPr>
                <a:t>2=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266700</xdr:colOff>
      <xdr:row>17</xdr:row>
      <xdr:rowOff>7620</xdr:rowOff>
    </xdr:from>
    <xdr:ext cx="349006" cy="1751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 txBox="1"/>
          </xdr:nvSpPr>
          <xdr:spPr>
            <a:xfrm>
              <a:off x="266700" y="3116580"/>
              <a:ext cx="349006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</m:acc>
                    <m:r>
                      <a:rPr lang="en-US" sz="1100" b="0" i="1">
                        <a:latin typeface="Cambria Math" panose="02040503050406030204" pitchFamily="18" charset="0"/>
                      </a:rPr>
                      <m:t>4=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5" name="TextBox 4"/>
            <xdr:cNvSpPr txBox="1"/>
          </xdr:nvSpPr>
          <xdr:spPr>
            <a:xfrm>
              <a:off x="266700" y="3116580"/>
              <a:ext cx="349006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𝑋</a:t>
              </a:r>
              <a:r>
                <a:rPr lang="ru-RU" sz="1100" b="0" i="0">
                  <a:latin typeface="Cambria Math" panose="02040503050406030204" pitchFamily="18" charset="0"/>
                </a:rPr>
                <a:t> ̅</a:t>
              </a:r>
              <a:r>
                <a:rPr lang="en-US" sz="1100" b="0" i="0">
                  <a:latin typeface="Cambria Math" panose="02040503050406030204" pitchFamily="18" charset="0"/>
                </a:rPr>
                <a:t>4=</a:t>
              </a:r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zoomScale="138" workbookViewId="0">
      <selection activeCell="G22" sqref="G22"/>
    </sheetView>
  </sheetViews>
  <sheetFormatPr baseColWidth="10" defaultColWidth="8.83203125" defaultRowHeight="15" x14ac:dyDescent="0.2"/>
  <cols>
    <col min="5" max="5" width="9.33203125" customWidth="1"/>
    <col min="7" max="7" width="9.33203125" customWidth="1"/>
  </cols>
  <sheetData>
    <row r="1" spans="1:15" ht="17" x14ac:dyDescent="0.2">
      <c r="A1" s="13" t="s">
        <v>44</v>
      </c>
      <c r="B1" s="11"/>
      <c r="C1" s="11"/>
      <c r="D1" s="11"/>
      <c r="E1" s="11"/>
    </row>
    <row r="2" spans="1:15" ht="17" x14ac:dyDescent="0.2">
      <c r="A2" s="13" t="s">
        <v>52</v>
      </c>
      <c r="B2" s="11"/>
      <c r="C2" s="11"/>
      <c r="K2" s="1">
        <v>1</v>
      </c>
      <c r="L2" s="1">
        <v>3</v>
      </c>
      <c r="M2" s="1">
        <v>5</v>
      </c>
      <c r="N2" s="1">
        <v>7</v>
      </c>
      <c r="O2" s="1">
        <v>9</v>
      </c>
    </row>
    <row r="3" spans="1:15" x14ac:dyDescent="0.2">
      <c r="A3" s="1"/>
      <c r="B3" s="10" t="s">
        <v>0</v>
      </c>
      <c r="C3" s="10" t="s">
        <v>1</v>
      </c>
      <c r="D3" s="10" t="s">
        <v>2</v>
      </c>
      <c r="E3" s="10" t="s">
        <v>3</v>
      </c>
      <c r="K3" s="12" t="s">
        <v>19</v>
      </c>
      <c r="L3" s="4">
        <v>4</v>
      </c>
      <c r="M3" s="18" t="s">
        <v>60</v>
      </c>
      <c r="N3" s="1"/>
      <c r="O3" s="1"/>
    </row>
    <row r="4" spans="1:15" x14ac:dyDescent="0.2">
      <c r="A4" s="10" t="s">
        <v>0</v>
      </c>
      <c r="B4" s="1">
        <v>1</v>
      </c>
      <c r="C4" s="2">
        <f>K2/L2</f>
        <v>0.33333333333333331</v>
      </c>
      <c r="D4" s="1">
        <v>7</v>
      </c>
      <c r="E4" s="1">
        <f>3</f>
        <v>3</v>
      </c>
      <c r="F4" t="s">
        <v>45</v>
      </c>
    </row>
    <row r="5" spans="1:15" x14ac:dyDescent="0.2">
      <c r="A5" s="10" t="s">
        <v>1</v>
      </c>
      <c r="B5" s="1">
        <v>3</v>
      </c>
      <c r="C5" s="1">
        <v>1</v>
      </c>
      <c r="D5" s="1">
        <v>9</v>
      </c>
      <c r="E5" s="1">
        <v>5</v>
      </c>
      <c r="F5" t="s">
        <v>47</v>
      </c>
    </row>
    <row r="6" spans="1:15" x14ac:dyDescent="0.2">
      <c r="A6" s="10" t="s">
        <v>2</v>
      </c>
      <c r="B6" s="2">
        <f>K2/N2</f>
        <v>0.14285714285714285</v>
      </c>
      <c r="C6" s="2">
        <f>K2/O2</f>
        <v>0.1111111111111111</v>
      </c>
      <c r="D6" s="1">
        <v>1</v>
      </c>
      <c r="E6" s="1">
        <f>K2/M2</f>
        <v>0.2</v>
      </c>
      <c r="F6" t="s">
        <v>46</v>
      </c>
    </row>
    <row r="7" spans="1:15" x14ac:dyDescent="0.2">
      <c r="A7" s="10" t="s">
        <v>3</v>
      </c>
      <c r="B7" s="2">
        <f>K2/L2</f>
        <v>0.33333333333333331</v>
      </c>
      <c r="C7" s="1">
        <f>K2/M2</f>
        <v>0.2</v>
      </c>
      <c r="D7" s="1">
        <v>5</v>
      </c>
      <c r="E7" s="1">
        <v>1</v>
      </c>
      <c r="F7" t="s">
        <v>48</v>
      </c>
    </row>
    <row r="9" spans="1:15" x14ac:dyDescent="0.2">
      <c r="B9" s="1" t="s">
        <v>53</v>
      </c>
      <c r="D9" s="16" t="s">
        <v>54</v>
      </c>
      <c r="E9" s="11"/>
    </row>
    <row r="10" spans="1:15" x14ac:dyDescent="0.2">
      <c r="A10" s="5" t="s">
        <v>4</v>
      </c>
      <c r="B10" s="6">
        <f>GEOMEAN(B4:E4)</f>
        <v>1.6265765616977856</v>
      </c>
      <c r="D10" s="5" t="s">
        <v>9</v>
      </c>
      <c r="E10" s="6">
        <f>B10/B14</f>
        <v>0.2696383187116943</v>
      </c>
      <c r="H10" s="5" t="s">
        <v>61</v>
      </c>
      <c r="I10" s="7">
        <v>2</v>
      </c>
    </row>
    <row r="11" spans="1:15" x14ac:dyDescent="0.2">
      <c r="A11" s="5" t="s">
        <v>5</v>
      </c>
      <c r="B11" s="6">
        <f>GEOMEAN(B5:E5)</f>
        <v>3.4086580994024978</v>
      </c>
      <c r="D11" s="5" t="s">
        <v>10</v>
      </c>
      <c r="E11" s="6">
        <f>B11/B14</f>
        <v>0.56505476632870388</v>
      </c>
      <c r="H11" s="5" t="s">
        <v>62</v>
      </c>
      <c r="I11" s="7">
        <v>1</v>
      </c>
    </row>
    <row r="12" spans="1:15" x14ac:dyDescent="0.2">
      <c r="A12" s="5" t="s">
        <v>6</v>
      </c>
      <c r="B12" s="6">
        <f>GEOMEAN(B6:E6)</f>
        <v>0.23736810439041953</v>
      </c>
      <c r="D12" s="5" t="s">
        <v>11</v>
      </c>
      <c r="E12" s="6">
        <f>B12/B14</f>
        <v>3.9348616038589135E-2</v>
      </c>
      <c r="H12" s="5" t="s">
        <v>63</v>
      </c>
      <c r="I12" s="7">
        <v>4</v>
      </c>
    </row>
    <row r="13" spans="1:15" x14ac:dyDescent="0.2">
      <c r="A13" s="5" t="s">
        <v>7</v>
      </c>
      <c r="B13" s="6">
        <f>GEOMEAN(B7:E7)</f>
        <v>0.75983568565159254</v>
      </c>
      <c r="D13" s="5" t="s">
        <v>12</v>
      </c>
      <c r="E13" s="6">
        <f>B13/B14</f>
        <v>0.12595829892101279</v>
      </c>
      <c r="H13" s="5" t="s">
        <v>64</v>
      </c>
      <c r="I13" s="7">
        <v>3</v>
      </c>
    </row>
    <row r="14" spans="1:15" x14ac:dyDescent="0.2">
      <c r="A14" s="5" t="s">
        <v>8</v>
      </c>
      <c r="B14" s="6">
        <f>SUM(B10:B13)</f>
        <v>6.032438451142295</v>
      </c>
    </row>
    <row r="16" spans="1:15" ht="17" x14ac:dyDescent="0.2">
      <c r="A16" s="14" t="s">
        <v>55</v>
      </c>
    </row>
    <row r="17" spans="1:8" x14ac:dyDescent="0.2">
      <c r="A17" s="15" t="s">
        <v>56</v>
      </c>
    </row>
    <row r="18" spans="1:8" x14ac:dyDescent="0.2">
      <c r="A18" s="5" t="s">
        <v>13</v>
      </c>
      <c r="B18" s="6">
        <f>SUM(B4:B7)</f>
        <v>4.4761904761904763</v>
      </c>
      <c r="F18" s="20" t="s">
        <v>17</v>
      </c>
      <c r="G18" s="6">
        <f>SUM(B18*E10,B19*E11,B20*E12,B21*E13)</f>
        <v>4.1606395484516678</v>
      </c>
      <c r="H18" s="17" t="s">
        <v>57</v>
      </c>
    </row>
    <row r="19" spans="1:8" x14ac:dyDescent="0.2">
      <c r="A19" s="5" t="s">
        <v>14</v>
      </c>
      <c r="B19" s="6">
        <f>SUM(C4:C7)</f>
        <v>1.6444444444444444</v>
      </c>
      <c r="D19" s="5" t="s">
        <v>65</v>
      </c>
      <c r="E19" s="7">
        <v>0.9</v>
      </c>
      <c r="F19" s="5" t="s">
        <v>18</v>
      </c>
      <c r="G19" s="6">
        <f>(G18-L3)/(L3-K2)</f>
        <v>5.3546516150555945E-2</v>
      </c>
      <c r="H19" t="s">
        <v>58</v>
      </c>
    </row>
    <row r="20" spans="1:8" x14ac:dyDescent="0.2">
      <c r="A20" s="5" t="s">
        <v>15</v>
      </c>
      <c r="B20" s="7">
        <f>SUM(D4:D7)</f>
        <v>22</v>
      </c>
      <c r="F20" s="5" t="s">
        <v>20</v>
      </c>
      <c r="G20" s="6">
        <f>G19/E19</f>
        <v>5.9496129056173269E-2</v>
      </c>
      <c r="H20" t="s">
        <v>59</v>
      </c>
    </row>
    <row r="21" spans="1:8" x14ac:dyDescent="0.2">
      <c r="A21" s="5" t="s">
        <v>16</v>
      </c>
      <c r="B21" s="8">
        <f>SUM(E4:E7)</f>
        <v>9.1999999999999993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23"/>
  <sheetViews>
    <sheetView zoomScale="125" workbookViewId="0">
      <selection activeCell="E22" sqref="E22"/>
    </sheetView>
  </sheetViews>
  <sheetFormatPr baseColWidth="10" defaultColWidth="8.83203125" defaultRowHeight="15" x14ac:dyDescent="0.2"/>
  <cols>
    <col min="2" max="2" width="13.5" bestFit="1" customWidth="1"/>
  </cols>
  <sheetData>
    <row r="2" spans="1:11" ht="17" x14ac:dyDescent="0.2">
      <c r="A2" s="13" t="s">
        <v>21</v>
      </c>
    </row>
    <row r="3" spans="1:11" x14ac:dyDescent="0.2">
      <c r="A3" s="1"/>
      <c r="B3" s="10" t="s">
        <v>0</v>
      </c>
      <c r="C3" s="10" t="s">
        <v>1</v>
      </c>
      <c r="D3" s="10" t="s">
        <v>2</v>
      </c>
      <c r="E3" s="10" t="s">
        <v>3</v>
      </c>
      <c r="G3" s="3" t="s">
        <v>24</v>
      </c>
      <c r="H3" s="7">
        <v>3</v>
      </c>
      <c r="I3" s="7"/>
      <c r="J3" s="1" t="s">
        <v>0</v>
      </c>
      <c r="K3" t="s">
        <v>49</v>
      </c>
    </row>
    <row r="4" spans="1:11" x14ac:dyDescent="0.2">
      <c r="A4" s="10">
        <v>1</v>
      </c>
      <c r="B4" s="1">
        <v>2</v>
      </c>
      <c r="C4" s="1">
        <v>1</v>
      </c>
      <c r="D4" s="1">
        <v>4</v>
      </c>
      <c r="E4" s="1">
        <v>3</v>
      </c>
      <c r="G4" s="5" t="s">
        <v>19</v>
      </c>
      <c r="H4" s="7">
        <v>4</v>
      </c>
      <c r="I4" s="7"/>
      <c r="J4" s="1" t="s">
        <v>1</v>
      </c>
      <c r="K4" t="s">
        <v>47</v>
      </c>
    </row>
    <row r="5" spans="1:11" x14ac:dyDescent="0.2">
      <c r="A5" s="10">
        <v>2</v>
      </c>
      <c r="B5" s="1">
        <v>1</v>
      </c>
      <c r="C5" s="1">
        <v>2</v>
      </c>
      <c r="D5" s="1">
        <v>4</v>
      </c>
      <c r="E5" s="1">
        <v>3</v>
      </c>
      <c r="J5" s="1" t="s">
        <v>2</v>
      </c>
      <c r="K5" t="s">
        <v>46</v>
      </c>
    </row>
    <row r="6" spans="1:11" x14ac:dyDescent="0.2">
      <c r="A6" s="10">
        <v>3</v>
      </c>
      <c r="B6" s="1">
        <v>1</v>
      </c>
      <c r="C6" s="1">
        <v>2</v>
      </c>
      <c r="D6" s="1">
        <v>3</v>
      </c>
      <c r="E6" s="1">
        <v>4</v>
      </c>
      <c r="J6" s="1" t="s">
        <v>3</v>
      </c>
      <c r="K6" t="s">
        <v>48</v>
      </c>
    </row>
    <row r="7" spans="1:11" x14ac:dyDescent="0.2">
      <c r="G7" t="s">
        <v>32</v>
      </c>
    </row>
    <row r="8" spans="1:11" ht="17" x14ac:dyDescent="0.2">
      <c r="A8" s="19" t="s">
        <v>22</v>
      </c>
      <c r="B8" s="19"/>
      <c r="C8" s="19"/>
      <c r="D8" s="19"/>
      <c r="G8" t="s">
        <v>50</v>
      </c>
    </row>
    <row r="9" spans="1:11" x14ac:dyDescent="0.2">
      <c r="B9" s="10" t="s">
        <v>0</v>
      </c>
      <c r="C9" s="10" t="s">
        <v>1</v>
      </c>
      <c r="D9" s="10" t="s">
        <v>2</v>
      </c>
      <c r="E9" s="10" t="s">
        <v>3</v>
      </c>
      <c r="G9" t="s">
        <v>33</v>
      </c>
    </row>
    <row r="10" spans="1:11" x14ac:dyDescent="0.2">
      <c r="A10" s="10">
        <v>1</v>
      </c>
      <c r="B10" s="1">
        <f>H4-B4</f>
        <v>2</v>
      </c>
      <c r="C10" s="1">
        <f>H4-C4</f>
        <v>3</v>
      </c>
      <c r="D10" s="1">
        <f>H4-D4</f>
        <v>0</v>
      </c>
      <c r="E10" s="1">
        <f>H4-E4</f>
        <v>1</v>
      </c>
      <c r="G10" t="s">
        <v>51</v>
      </c>
    </row>
    <row r="11" spans="1:11" x14ac:dyDescent="0.2">
      <c r="A11" s="10">
        <v>2</v>
      </c>
      <c r="B11" s="1">
        <f>H4-B5</f>
        <v>3</v>
      </c>
      <c r="C11" s="1">
        <f>H4-C5</f>
        <v>2</v>
      </c>
      <c r="D11" s="1">
        <f>H4-D5</f>
        <v>0</v>
      </c>
      <c r="E11" s="1">
        <f>H4-E5</f>
        <v>1</v>
      </c>
      <c r="G11" t="s">
        <v>35</v>
      </c>
    </row>
    <row r="12" spans="1:11" x14ac:dyDescent="0.2">
      <c r="A12" s="10">
        <v>3</v>
      </c>
      <c r="B12" s="1">
        <f>H4-B6</f>
        <v>3</v>
      </c>
      <c r="C12" s="1">
        <f>H4-C6</f>
        <v>2</v>
      </c>
      <c r="D12" s="1">
        <f>H4-D6</f>
        <v>1</v>
      </c>
      <c r="E12" s="1">
        <f>H4-E6</f>
        <v>0</v>
      </c>
      <c r="G12" t="s">
        <v>34</v>
      </c>
    </row>
    <row r="13" spans="1:11" x14ac:dyDescent="0.2">
      <c r="G13" t="s">
        <v>66</v>
      </c>
    </row>
    <row r="14" spans="1:11" x14ac:dyDescent="0.2">
      <c r="A14" s="3" t="s">
        <v>4</v>
      </c>
      <c r="B14" s="7">
        <f>SUM(B10:B12)</f>
        <v>8</v>
      </c>
      <c r="D14" s="5" t="s">
        <v>9</v>
      </c>
      <c r="E14" s="6">
        <f>B14/$B$18</f>
        <v>0.44444444444444442</v>
      </c>
    </row>
    <row r="15" spans="1:11" x14ac:dyDescent="0.2">
      <c r="A15" s="3" t="s">
        <v>5</v>
      </c>
      <c r="B15" s="7">
        <f>SUM(C10:C12)</f>
        <v>7</v>
      </c>
      <c r="D15" s="5" t="s">
        <v>10</v>
      </c>
      <c r="E15" s="6">
        <f t="shared" ref="E15:E17" si="0">B15/$B$18</f>
        <v>0.3888888888888889</v>
      </c>
    </row>
    <row r="16" spans="1:11" x14ac:dyDescent="0.2">
      <c r="A16" s="3" t="s">
        <v>6</v>
      </c>
      <c r="B16" s="7">
        <f>SUM(D10:D12)</f>
        <v>1</v>
      </c>
      <c r="D16" s="5" t="s">
        <v>11</v>
      </c>
      <c r="E16" s="6">
        <f t="shared" si="0"/>
        <v>5.5555555555555552E-2</v>
      </c>
    </row>
    <row r="17" spans="1:5" x14ac:dyDescent="0.2">
      <c r="A17" s="3" t="s">
        <v>7</v>
      </c>
      <c r="B17" s="7">
        <f>SUM(E10:E12)</f>
        <v>2</v>
      </c>
      <c r="D17" s="5" t="s">
        <v>12</v>
      </c>
      <c r="E17" s="6">
        <f t="shared" si="0"/>
        <v>0.1111111111111111</v>
      </c>
    </row>
    <row r="18" spans="1:5" x14ac:dyDescent="0.2">
      <c r="A18" s="3" t="s">
        <v>23</v>
      </c>
      <c r="B18" s="7">
        <f>SUM(B14:B17)</f>
        <v>18</v>
      </c>
    </row>
    <row r="20" spans="1:5" x14ac:dyDescent="0.2">
      <c r="A20" s="3" t="s">
        <v>28</v>
      </c>
      <c r="B20" s="7">
        <f>SUM(B4:B6)</f>
        <v>4</v>
      </c>
      <c r="D20" s="5" t="s">
        <v>30</v>
      </c>
      <c r="E20" s="7">
        <f>H3*(H4+1)/2</f>
        <v>7.5</v>
      </c>
    </row>
    <row r="21" spans="1:5" x14ac:dyDescent="0.2">
      <c r="A21" s="3" t="s">
        <v>27</v>
      </c>
      <c r="B21" s="7">
        <f>SUM(C4:C6)</f>
        <v>5</v>
      </c>
      <c r="D21" s="3" t="s">
        <v>29</v>
      </c>
      <c r="E21" s="7">
        <f>(B20-E20)^2+(B21-E20)^2+(B22-E20)^2+(B23-E20)^2</f>
        <v>37</v>
      </c>
    </row>
    <row r="22" spans="1:5" x14ac:dyDescent="0.2">
      <c r="A22" s="3" t="s">
        <v>25</v>
      </c>
      <c r="B22" s="7">
        <f>SUM(D4:D6)</f>
        <v>11</v>
      </c>
      <c r="D22" s="3" t="s">
        <v>31</v>
      </c>
      <c r="E22" s="8">
        <f>12*E21/(H3^2*H4*(H4^2-1))</f>
        <v>0.82222222222222219</v>
      </c>
    </row>
    <row r="23" spans="1:5" x14ac:dyDescent="0.2">
      <c r="A23" s="3" t="s">
        <v>26</v>
      </c>
      <c r="B23" s="7">
        <f>SUM(E4:E6)</f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19"/>
  <sheetViews>
    <sheetView tabSelected="1" zoomScale="125" workbookViewId="0">
      <selection activeCell="H15" sqref="H15"/>
    </sheetView>
  </sheetViews>
  <sheetFormatPr baseColWidth="10" defaultColWidth="8.83203125" defaultRowHeight="15" x14ac:dyDescent="0.2"/>
  <sheetData>
    <row r="2" spans="1:9" ht="17" x14ac:dyDescent="0.2">
      <c r="A2" s="19" t="s">
        <v>36</v>
      </c>
      <c r="B2" s="19"/>
      <c r="C2" s="19"/>
      <c r="D2" s="19"/>
      <c r="E2" s="19"/>
    </row>
    <row r="3" spans="1:9" x14ac:dyDescent="0.2">
      <c r="A3" s="1"/>
      <c r="B3" s="10" t="s">
        <v>0</v>
      </c>
      <c r="C3" s="10" t="s">
        <v>1</v>
      </c>
      <c r="D3" s="10" t="s">
        <v>2</v>
      </c>
      <c r="E3" s="10" t="s">
        <v>3</v>
      </c>
      <c r="G3" s="3" t="s">
        <v>24</v>
      </c>
      <c r="H3" s="7">
        <v>3</v>
      </c>
    </row>
    <row r="4" spans="1:9" x14ac:dyDescent="0.2">
      <c r="A4" s="10">
        <v>1</v>
      </c>
      <c r="B4" s="1">
        <v>8</v>
      </c>
      <c r="C4" s="1">
        <v>10</v>
      </c>
      <c r="D4" s="1">
        <v>3</v>
      </c>
      <c r="E4" s="1">
        <v>6</v>
      </c>
      <c r="G4" s="5" t="s">
        <v>19</v>
      </c>
      <c r="H4" s="7">
        <v>4</v>
      </c>
    </row>
    <row r="5" spans="1:9" x14ac:dyDescent="0.2">
      <c r="A5" s="10">
        <v>2</v>
      </c>
      <c r="B5" s="1">
        <v>10</v>
      </c>
      <c r="C5" s="1">
        <v>8</v>
      </c>
      <c r="D5" s="1">
        <v>3</v>
      </c>
      <c r="E5" s="1">
        <v>5</v>
      </c>
    </row>
    <row r="6" spans="1:9" x14ac:dyDescent="0.2">
      <c r="A6" s="10">
        <v>3</v>
      </c>
      <c r="B6" s="1">
        <v>10</v>
      </c>
      <c r="C6" s="1">
        <v>8</v>
      </c>
      <c r="D6" s="1">
        <v>6</v>
      </c>
      <c r="E6" s="1">
        <v>4</v>
      </c>
      <c r="I6" t="s">
        <v>32</v>
      </c>
    </row>
    <row r="7" spans="1:9" x14ac:dyDescent="0.2">
      <c r="I7" t="s">
        <v>50</v>
      </c>
    </row>
    <row r="8" spans="1:9" x14ac:dyDescent="0.2">
      <c r="I8" t="s">
        <v>33</v>
      </c>
    </row>
    <row r="9" spans="1:9" x14ac:dyDescent="0.2">
      <c r="A9" s="3" t="s">
        <v>4</v>
      </c>
      <c r="B9" s="7">
        <f>SUM(B4:B6)</f>
        <v>28</v>
      </c>
      <c r="D9" s="5" t="s">
        <v>9</v>
      </c>
      <c r="E9" s="6">
        <f>B9/$B$13</f>
        <v>0.34567901234567899</v>
      </c>
      <c r="I9" t="s">
        <v>51</v>
      </c>
    </row>
    <row r="10" spans="1:9" x14ac:dyDescent="0.2">
      <c r="A10" s="3" t="s">
        <v>5</v>
      </c>
      <c r="B10" s="7">
        <f>SUM(C4:C6)</f>
        <v>26</v>
      </c>
      <c r="D10" s="5" t="s">
        <v>10</v>
      </c>
      <c r="E10" s="6">
        <f t="shared" ref="E10:E12" si="0">B10/$B$13</f>
        <v>0.32098765432098764</v>
      </c>
    </row>
    <row r="11" spans="1:9" x14ac:dyDescent="0.2">
      <c r="A11" s="3" t="s">
        <v>6</v>
      </c>
      <c r="B11" s="7">
        <f>SUM(D4:D6)</f>
        <v>12</v>
      </c>
      <c r="D11" s="5" t="s">
        <v>11</v>
      </c>
      <c r="E11" s="6">
        <f t="shared" si="0"/>
        <v>0.14814814814814814</v>
      </c>
    </row>
    <row r="12" spans="1:9" x14ac:dyDescent="0.2">
      <c r="A12" s="3" t="s">
        <v>7</v>
      </c>
      <c r="B12" s="7">
        <f>SUM(E4:E6)</f>
        <v>15</v>
      </c>
      <c r="D12" s="5" t="s">
        <v>12</v>
      </c>
      <c r="E12" s="6">
        <f t="shared" si="0"/>
        <v>0.18518518518518517</v>
      </c>
    </row>
    <row r="13" spans="1:9" x14ac:dyDescent="0.2">
      <c r="A13" s="3" t="s">
        <v>23</v>
      </c>
      <c r="B13" s="7">
        <f>SUM(B9:B12)</f>
        <v>81</v>
      </c>
    </row>
    <row r="15" spans="1:9" x14ac:dyDescent="0.2">
      <c r="B15" s="6">
        <f>B9/$H$3</f>
        <v>9.3333333333333339</v>
      </c>
      <c r="D15" s="5" t="s">
        <v>37</v>
      </c>
      <c r="E15" s="9">
        <f>1/(H4-1)*((B4-$B$15)^2+(C4-$B$16)^2+(D4-$B$17)^2+(E4-$B$18)^2)</f>
        <v>1.851851851851853</v>
      </c>
      <c r="G15" s="5" t="s">
        <v>40</v>
      </c>
      <c r="H15" s="9">
        <f>1/(H3-1)*((B4-B15)^2+(B5-B15)^2+(B6-B15)^2)</f>
        <v>1.3333333333333335</v>
      </c>
    </row>
    <row r="16" spans="1:9" x14ac:dyDescent="0.2">
      <c r="B16" s="6">
        <f>B10/$H$3</f>
        <v>8.6666666666666661</v>
      </c>
      <c r="D16" s="5" t="s">
        <v>38</v>
      </c>
      <c r="E16" s="9">
        <f>1/(H4-1)*((B5-$B$15)^2+(C5-$B$16)^2+(D5-$B$17)^2+(E5-$B$18)^2)</f>
        <v>0.6296296296296291</v>
      </c>
      <c r="G16" s="5" t="s">
        <v>41</v>
      </c>
      <c r="H16" s="9">
        <f>1/(H3-1)*((C4-B16)^2+(C5-B16)^2+(C6-B16)^2)</f>
        <v>1.3333333333333335</v>
      </c>
    </row>
    <row r="17" spans="1:8" x14ac:dyDescent="0.2">
      <c r="B17" s="6">
        <f>B11/$H$3</f>
        <v>4</v>
      </c>
      <c r="D17" s="5" t="s">
        <v>39</v>
      </c>
      <c r="E17" s="9">
        <f>1/(H4-1)*((B6-$B$15)^2+(C6-$B$16)^2+(D6-$B$17)^2+(E6-$B$18)^2)</f>
        <v>1.9629629629629624</v>
      </c>
      <c r="G17" s="5" t="s">
        <v>42</v>
      </c>
      <c r="H17">
        <f>1/(H3-1)*((D4-B17)^2+(D5-B17)^2+(D6-B17)^2)</f>
        <v>3</v>
      </c>
    </row>
    <row r="18" spans="1:8" x14ac:dyDescent="0.2">
      <c r="B18" s="6">
        <f>B12/$H$3</f>
        <v>5</v>
      </c>
      <c r="D18" s="5"/>
      <c r="G18" s="5" t="s">
        <v>43</v>
      </c>
      <c r="H18">
        <f>1/(H3-1)*((E4-B18)^2+(E5-B18)^2+(E6-B18)^2)</f>
        <v>1</v>
      </c>
    </row>
    <row r="19" spans="1:8" x14ac:dyDescent="0.2">
      <c r="A19" s="5"/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Метод Саати</vt:lpstr>
      <vt:lpstr>Метод предпочтений</vt:lpstr>
      <vt:lpstr>Метод ранг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2024-10-23T19:59:16Z</dcterms:modified>
</cp:coreProperties>
</file>