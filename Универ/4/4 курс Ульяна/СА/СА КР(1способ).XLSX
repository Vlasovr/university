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filterPrivacy="1"/>
  <xr:revisionPtr revIDLastSave="0" documentId="13_ncr:1_{5E8DA7BE-9750-D640-B916-9F9F27FBA2E9}" xr6:coauthVersionLast="47" xr6:coauthVersionMax="47" xr10:uidLastSave="{00000000-0000-0000-0000-000000000000}"/>
  <bookViews>
    <workbookView xWindow="640" yWindow="520" windowWidth="1156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E7" i="1" l="1"/>
  <c r="C7" i="1"/>
  <c r="D6" i="1" l="1"/>
  <c r="D13" i="1"/>
  <c r="C13" i="1"/>
  <c r="B13" i="1"/>
  <c r="B41" i="1"/>
  <c r="B18" i="1"/>
  <c r="D9" i="1"/>
  <c r="C9" i="1"/>
  <c r="E9" i="1"/>
  <c r="F9" i="1"/>
  <c r="B9" i="1"/>
  <c r="F5" i="1"/>
  <c r="D5" i="1"/>
  <c r="C5" i="1"/>
  <c r="B5" i="1"/>
  <c r="B43" i="1" l="1"/>
  <c r="E41" i="1"/>
  <c r="H37" i="1"/>
  <c r="H38" i="1"/>
  <c r="H36" i="1"/>
  <c r="B20" i="1"/>
  <c r="E20" i="1" s="1"/>
  <c r="B19" i="1"/>
  <c r="E19" i="1" s="1"/>
  <c r="E18" i="1"/>
  <c r="E43" i="1" l="1"/>
  <c r="B46" i="1" s="1"/>
  <c r="E42" i="1"/>
  <c r="B45" i="1" s="1"/>
  <c r="B47" i="1" s="1"/>
  <c r="E21" i="1"/>
  <c r="H18" i="1" s="1"/>
  <c r="D25" i="1" l="1"/>
  <c r="B25" i="1"/>
  <c r="C25" i="1"/>
  <c r="H20" i="1"/>
  <c r="H19" i="1"/>
  <c r="D27" i="1" l="1"/>
  <c r="C27" i="1"/>
  <c r="B27" i="1"/>
  <c r="B26" i="1"/>
  <c r="C26" i="1"/>
  <c r="B31" i="1" s="1"/>
  <c r="D26" i="1"/>
  <c r="B32" i="1" s="1"/>
  <c r="B30" i="1" l="1"/>
</calcChain>
</file>

<file path=xl/sharedStrings.xml><?xml version="1.0" encoding="utf-8"?>
<sst xmlns="http://schemas.openxmlformats.org/spreadsheetml/2006/main" count="61" uniqueCount="40">
  <si>
    <t>Безразмерные оценки альтернатив</t>
  </si>
  <si>
    <t>Кр1</t>
  </si>
  <si>
    <t>Кр2</t>
  </si>
  <si>
    <t>Кр3</t>
  </si>
  <si>
    <t>P0=</t>
  </si>
  <si>
    <t>P1=</t>
  </si>
  <si>
    <t>P2=</t>
  </si>
  <si>
    <t>P3=</t>
  </si>
  <si>
    <t>R1=</t>
  </si>
  <si>
    <t>R2=</t>
  </si>
  <si>
    <t>R3=</t>
  </si>
  <si>
    <t>R=</t>
  </si>
  <si>
    <t>W1=</t>
  </si>
  <si>
    <t>W2=</t>
  </si>
  <si>
    <t>W3=</t>
  </si>
  <si>
    <t>Взвешенные безразмерные оценки альтернатив</t>
  </si>
  <si>
    <t>E1=</t>
  </si>
  <si>
    <t>E2=</t>
  </si>
  <si>
    <t>E3=</t>
  </si>
  <si>
    <t>V1=</t>
  </si>
  <si>
    <t>V2=</t>
  </si>
  <si>
    <t>V3=</t>
  </si>
  <si>
    <t>S1=</t>
  </si>
  <si>
    <t>S3=</t>
  </si>
  <si>
    <t>S2=</t>
  </si>
  <si>
    <t>C1=</t>
  </si>
  <si>
    <t>C2=</t>
  </si>
  <si>
    <t>C3=</t>
  </si>
  <si>
    <t>D1=</t>
  </si>
  <si>
    <t>D2=</t>
  </si>
  <si>
    <t>D=</t>
  </si>
  <si>
    <t>P</t>
  </si>
  <si>
    <t>Прокопюк Ульяна Викторовна 150541 Вариант 1</t>
  </si>
  <si>
    <t>&lt;1</t>
  </si>
  <si>
    <t>ТФ2</t>
  </si>
  <si>
    <t>ТФ3</t>
  </si>
  <si>
    <t>ТФ4</t>
  </si>
  <si>
    <t>ТФ5</t>
  </si>
  <si>
    <t>ТФ6</t>
  </si>
  <si>
    <t>ТФ6 лучше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</si>
</sst>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topLeftCell="A20" zoomScale="106" workbookViewId="0">
      <selection activeCell="D48" sqref="D48"/>
    </sheetView>
  </sheetViews>
  <sheetFormatPr baseColWidth="10" defaultColWidth="8.83203125" defaultRowHeight="15" x14ac:dyDescent="0.2"/>
  <cols>
    <col min="5" max="5" width="12.6640625" bestFit="1" customWidth="1"/>
  </cols>
  <sheetData>
    <row r="1" spans="1:9" x14ac:dyDescent="0.2">
      <c r="A1" t="s">
        <v>32</v>
      </c>
    </row>
    <row r="3" spans="1:9" x14ac:dyDescent="0.2">
      <c r="A3" t="s">
        <v>0</v>
      </c>
    </row>
    <row r="4" spans="1:9" x14ac:dyDescent="0.2"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</row>
    <row r="5" spans="1:9" x14ac:dyDescent="0.2">
      <c r="A5" s="1" t="s">
        <v>1</v>
      </c>
      <c r="B5" s="7">
        <f>2/7</f>
        <v>0.2857142857142857</v>
      </c>
      <c r="C5" s="7">
        <f>6/7</f>
        <v>0.8571428571428571</v>
      </c>
      <c r="D5" s="7">
        <f>5/7</f>
        <v>0.7142857142857143</v>
      </c>
      <c r="E5" s="7">
        <v>1</v>
      </c>
      <c r="F5" s="7">
        <f>4/7</f>
        <v>0.5714285714285714</v>
      </c>
    </row>
    <row r="6" spans="1:9" x14ac:dyDescent="0.2">
      <c r="A6" s="1" t="s">
        <v>2</v>
      </c>
      <c r="B6" s="4">
        <v>1</v>
      </c>
      <c r="C6" s="4">
        <v>1</v>
      </c>
      <c r="D6" s="4">
        <f>0.63</f>
        <v>0.63</v>
      </c>
      <c r="E6" s="4">
        <v>0.55000000000000004</v>
      </c>
      <c r="F6" s="4">
        <v>0.72</v>
      </c>
    </row>
    <row r="7" spans="1:9" x14ac:dyDescent="0.2">
      <c r="A7" s="1" t="s">
        <v>3</v>
      </c>
      <c r="B7" s="4">
        <v>1</v>
      </c>
      <c r="C7" s="7">
        <f>0.5</f>
        <v>0.5</v>
      </c>
      <c r="D7" s="4">
        <v>1</v>
      </c>
      <c r="E7" s="7">
        <f>0.5</f>
        <v>0.5</v>
      </c>
      <c r="F7" s="4">
        <v>0.9</v>
      </c>
    </row>
    <row r="9" spans="1:9" x14ac:dyDescent="0.2">
      <c r="A9" s="1" t="s">
        <v>31</v>
      </c>
      <c r="B9" s="7">
        <f>MIN(B5:B7)</f>
        <v>0.2857142857142857</v>
      </c>
      <c r="C9" s="7">
        <f t="shared" ref="C9:F9" si="0">MIN(C5:C7)</f>
        <v>0.5</v>
      </c>
      <c r="D9" s="7">
        <f>MIN(D5:D7)</f>
        <v>0.63</v>
      </c>
      <c r="E9" s="7">
        <f t="shared" si="0"/>
        <v>0.5</v>
      </c>
      <c r="F9" s="7">
        <f t="shared" si="0"/>
        <v>0.5714285714285714</v>
      </c>
      <c r="H9" s="1" t="s">
        <v>4</v>
      </c>
      <c r="I9" s="2">
        <v>0.55000000000000004</v>
      </c>
    </row>
    <row r="11" spans="1:9" x14ac:dyDescent="0.2">
      <c r="A11" t="s">
        <v>0</v>
      </c>
    </row>
    <row r="12" spans="1:9" x14ac:dyDescent="0.2">
      <c r="B12" s="4" t="s">
        <v>35</v>
      </c>
      <c r="C12" s="4" t="s">
        <v>36</v>
      </c>
      <c r="D12" s="4" t="s">
        <v>38</v>
      </c>
    </row>
    <row r="13" spans="1:9" x14ac:dyDescent="0.2">
      <c r="A13" s="1" t="s">
        <v>1</v>
      </c>
      <c r="B13" s="7">
        <f>6/6</f>
        <v>1</v>
      </c>
      <c r="C13" s="7">
        <f>5/6</f>
        <v>0.83333333333333337</v>
      </c>
      <c r="D13" s="7">
        <f>4/6</f>
        <v>0.66666666666666663</v>
      </c>
    </row>
    <row r="14" spans="1:9" x14ac:dyDescent="0.2">
      <c r="A14" s="1" t="s">
        <v>2</v>
      </c>
      <c r="B14" s="4">
        <v>1</v>
      </c>
      <c r="C14" s="4">
        <v>0.55000000000000004</v>
      </c>
      <c r="D14" s="4">
        <v>0.73</v>
      </c>
    </row>
    <row r="15" spans="1:9" x14ac:dyDescent="0.2">
      <c r="A15" s="1" t="s">
        <v>3</v>
      </c>
      <c r="B15" s="4">
        <v>0.5</v>
      </c>
      <c r="C15" s="4">
        <v>1</v>
      </c>
      <c r="D15" s="4">
        <v>1</v>
      </c>
    </row>
    <row r="18" spans="1:8" x14ac:dyDescent="0.2">
      <c r="A18" s="1" t="s">
        <v>5</v>
      </c>
      <c r="B18" s="3">
        <f>SUM(B13:D13)/3</f>
        <v>0.83333333333333337</v>
      </c>
      <c r="D18" s="1" t="s">
        <v>8</v>
      </c>
      <c r="E18" s="3">
        <f>(ABS(B13-B18)+ABS(C13-B18)+ABS(D13-B18))/(3*B18)</f>
        <v>0.13333333333333336</v>
      </c>
      <c r="G18" s="1" t="s">
        <v>12</v>
      </c>
      <c r="H18" s="3">
        <f>E18/$E$21</f>
        <v>0.21839080459770116</v>
      </c>
    </row>
    <row r="19" spans="1:8" x14ac:dyDescent="0.2">
      <c r="A19" s="1" t="s">
        <v>6</v>
      </c>
      <c r="B19" s="3">
        <f>SUM(B14:D14)/3</f>
        <v>0.76000000000000012</v>
      </c>
      <c r="D19" s="1" t="s">
        <v>9</v>
      </c>
      <c r="E19" s="3">
        <f>(ABS(B14-B19)+ABS(C14-B19)+ABS(D14-B19))/(3*B19)</f>
        <v>0.2105263157894737</v>
      </c>
      <c r="G19" s="1" t="s">
        <v>13</v>
      </c>
      <c r="H19" s="3">
        <f>E19/$E$21</f>
        <v>0.34482758620689652</v>
      </c>
    </row>
    <row r="20" spans="1:8" x14ac:dyDescent="0.2">
      <c r="A20" s="1" t="s">
        <v>7</v>
      </c>
      <c r="B20" s="3">
        <f>SUM(B15:D15)/3</f>
        <v>0.83333333333333337</v>
      </c>
      <c r="D20" s="1" t="s">
        <v>10</v>
      </c>
      <c r="E20" s="3">
        <f>(ABS(B15-B20)+ABS(C15-B20)+ABS(D15-B20))/(3*B20)</f>
        <v>0.26666666666666666</v>
      </c>
      <c r="G20" s="1" t="s">
        <v>14</v>
      </c>
      <c r="H20" s="3">
        <f>E20/$E$21</f>
        <v>0.43678160919540221</v>
      </c>
    </row>
    <row r="21" spans="1:8" x14ac:dyDescent="0.2">
      <c r="A21" s="1"/>
      <c r="D21" s="1" t="s">
        <v>11</v>
      </c>
      <c r="E21" s="3">
        <f>SUM(E18:E20)</f>
        <v>0.61052631578947381</v>
      </c>
    </row>
    <row r="23" spans="1:8" x14ac:dyDescent="0.2">
      <c r="A23" t="s">
        <v>15</v>
      </c>
    </row>
    <row r="24" spans="1:8" x14ac:dyDescent="0.2">
      <c r="B24" s="4" t="s">
        <v>35</v>
      </c>
      <c r="C24" s="4" t="s">
        <v>36</v>
      </c>
      <c r="D24" s="4" t="s">
        <v>38</v>
      </c>
    </row>
    <row r="25" spans="1:8" x14ac:dyDescent="0.2">
      <c r="A25" s="1" t="s">
        <v>1</v>
      </c>
      <c r="B25" s="5">
        <f>$H$18/B13</f>
        <v>0.21839080459770116</v>
      </c>
      <c r="C25" s="5">
        <f t="shared" ref="C25:D25" si="1">$H$18/C13</f>
        <v>0.2620689655172414</v>
      </c>
      <c r="D25" s="5">
        <f t="shared" si="1"/>
        <v>0.32758620689655177</v>
      </c>
    </row>
    <row r="26" spans="1:8" x14ac:dyDescent="0.2">
      <c r="A26" s="1" t="s">
        <v>2</v>
      </c>
      <c r="B26" s="5">
        <f>$H$19/B14</f>
        <v>0.34482758620689652</v>
      </c>
      <c r="C26" s="5">
        <f t="shared" ref="C26:D26" si="2">$H$19/C14</f>
        <v>0.62695924764890276</v>
      </c>
      <c r="D26" s="5">
        <f t="shared" si="2"/>
        <v>0.47236655644780345</v>
      </c>
    </row>
    <row r="27" spans="1:8" x14ac:dyDescent="0.2">
      <c r="A27" s="1" t="s">
        <v>3</v>
      </c>
      <c r="B27" s="5">
        <f>$H$20/B15</f>
        <v>0.87356321839080442</v>
      </c>
      <c r="C27" s="5">
        <f>$H$20/C15</f>
        <v>0.43678160919540221</v>
      </c>
      <c r="D27" s="5">
        <f>$H$20/D15</f>
        <v>0.43678160919540221</v>
      </c>
    </row>
    <row r="30" spans="1:8" x14ac:dyDescent="0.2">
      <c r="A30" s="1" t="s">
        <v>16</v>
      </c>
      <c r="B30" s="3">
        <f>SUM(B25:B27)</f>
        <v>1.436781609195402</v>
      </c>
    </row>
    <row r="31" spans="1:8" x14ac:dyDescent="0.2">
      <c r="A31" s="1" t="s">
        <v>17</v>
      </c>
      <c r="B31" s="3">
        <f>SUM(C25:C27)</f>
        <v>1.3258098223615464</v>
      </c>
    </row>
    <row r="32" spans="1:8" x14ac:dyDescent="0.2">
      <c r="A32" s="1" t="s">
        <v>18</v>
      </c>
      <c r="B32" s="3">
        <f>SUM(D25:D27)</f>
        <v>1.2367343725397575</v>
      </c>
    </row>
    <row r="35" spans="1:8" x14ac:dyDescent="0.2">
      <c r="B35" s="6" t="s">
        <v>36</v>
      </c>
      <c r="C35" s="6" t="s">
        <v>38</v>
      </c>
    </row>
    <row r="36" spans="1:8" x14ac:dyDescent="0.2">
      <c r="A36" s="1" t="s">
        <v>1</v>
      </c>
      <c r="B36" s="6">
        <v>5</v>
      </c>
      <c r="C36" s="6">
        <v>4</v>
      </c>
      <c r="E36" s="1" t="s">
        <v>8</v>
      </c>
      <c r="F36" s="2">
        <v>3</v>
      </c>
      <c r="G36" s="1" t="s">
        <v>19</v>
      </c>
      <c r="H36" s="2">
        <f>$F$36+1-F36</f>
        <v>1</v>
      </c>
    </row>
    <row r="37" spans="1:8" x14ac:dyDescent="0.2">
      <c r="A37" s="1" t="s">
        <v>2</v>
      </c>
      <c r="B37" s="6">
        <v>0.8</v>
      </c>
      <c r="C37" s="6">
        <v>1</v>
      </c>
      <c r="E37" s="1" t="s">
        <v>9</v>
      </c>
      <c r="F37" s="2">
        <v>1</v>
      </c>
      <c r="G37" s="1" t="s">
        <v>20</v>
      </c>
      <c r="H37" s="2">
        <f>$F$36+1-F37</f>
        <v>3</v>
      </c>
    </row>
    <row r="38" spans="1:8" x14ac:dyDescent="0.2">
      <c r="A38" s="1" t="s">
        <v>3</v>
      </c>
      <c r="B38" s="6">
        <v>0.5</v>
      </c>
      <c r="C38" s="6">
        <v>1</v>
      </c>
      <c r="E38" s="1" t="s">
        <v>10</v>
      </c>
      <c r="F38" s="2">
        <v>2</v>
      </c>
      <c r="G38" s="1" t="s">
        <v>21</v>
      </c>
      <c r="H38" s="2">
        <f>$F$36+1-F38</f>
        <v>2</v>
      </c>
    </row>
    <row r="41" spans="1:8" x14ac:dyDescent="0.2">
      <c r="A41" s="1" t="s">
        <v>22</v>
      </c>
      <c r="B41" s="8">
        <f>B36/C36</f>
        <v>1.25</v>
      </c>
      <c r="D41" s="1" t="s">
        <v>25</v>
      </c>
      <c r="E41" s="8">
        <f>B41^H36</f>
        <v>1.25</v>
      </c>
    </row>
    <row r="42" spans="1:8" x14ac:dyDescent="0.2">
      <c r="A42" s="1" t="s">
        <v>24</v>
      </c>
      <c r="B42" s="8">
        <f>C37/B37</f>
        <v>1.25</v>
      </c>
      <c r="D42" s="1" t="s">
        <v>26</v>
      </c>
      <c r="E42" s="8">
        <f>B42^H37</f>
        <v>1.953125</v>
      </c>
    </row>
    <row r="43" spans="1:8" x14ac:dyDescent="0.2">
      <c r="A43" s="1" t="s">
        <v>23</v>
      </c>
      <c r="B43" s="8">
        <f>C38/B38</f>
        <v>2</v>
      </c>
      <c r="D43" s="1" t="s">
        <v>27</v>
      </c>
      <c r="E43" s="8">
        <f>B43^H38</f>
        <v>4</v>
      </c>
    </row>
    <row r="45" spans="1:8" x14ac:dyDescent="0.2">
      <c r="A45" s="1" t="s">
        <v>28</v>
      </c>
      <c r="B45" s="8">
        <f>E41*E42</f>
        <v>2.44140625</v>
      </c>
    </row>
    <row r="46" spans="1:8" x14ac:dyDescent="0.2">
      <c r="A46" s="1" t="s">
        <v>29</v>
      </c>
      <c r="B46" s="8">
        <f>E43</f>
        <v>4</v>
      </c>
    </row>
    <row r="47" spans="1:8" x14ac:dyDescent="0.2">
      <c r="A47" s="1" t="s">
        <v>30</v>
      </c>
      <c r="B47" s="8">
        <f>B45/B46</f>
        <v>0.6103515625</v>
      </c>
      <c r="C47" s="1" t="s">
        <v>33</v>
      </c>
      <c r="D4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2024-11-08T22:05:11Z</dcterms:modified>
</cp:coreProperties>
</file>