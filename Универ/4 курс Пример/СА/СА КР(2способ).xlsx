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lyanaprokopjuk/Desktop/"/>
    </mc:Choice>
  </mc:AlternateContent>
  <xr:revisionPtr revIDLastSave="0" documentId="13_ncr:1_{EF177B45-F22A-924C-BE16-1BBCD347D186}" xr6:coauthVersionLast="47" xr6:coauthVersionMax="47" xr10:uidLastSave="{00000000-0000-0000-0000-000000000000}"/>
  <bookViews>
    <workbookView xWindow="0" yWindow="500" windowWidth="28800" windowHeight="15720" activeTab="2" xr2:uid="{9CECEA11-0385-DF43-A662-D00DBBD9C73B}"/>
  </bookViews>
  <sheets>
    <sheet name="Метод предпочтений" sheetId="1" r:id="rId1"/>
    <sheet name="Алгоритм Кемени-Снелла" sheetId="2" r:id="rId2"/>
    <sheet name="Метод Электр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3" l="1"/>
  <c r="J29" i="3"/>
  <c r="H23" i="3"/>
  <c r="J22" i="3"/>
  <c r="I23" i="3"/>
  <c r="J21" i="3"/>
  <c r="H22" i="3"/>
  <c r="I21" i="3"/>
  <c r="J13" i="3"/>
  <c r="H13" i="3"/>
  <c r="N25" i="2"/>
  <c r="N24" i="2"/>
  <c r="N23" i="2"/>
  <c r="N22" i="2"/>
  <c r="M13" i="2"/>
  <c r="L13" i="2"/>
  <c r="K13" i="2"/>
  <c r="I13" i="2"/>
  <c r="M14" i="2"/>
  <c r="L14" i="2"/>
  <c r="J14" i="2"/>
  <c r="I14" i="2"/>
  <c r="M15" i="2"/>
  <c r="J15" i="2"/>
  <c r="I15" i="2"/>
  <c r="I16" i="2"/>
  <c r="J16" i="2"/>
  <c r="K15" i="2"/>
  <c r="K16" i="2"/>
  <c r="L16" i="2"/>
  <c r="M12" i="2"/>
  <c r="L12" i="2"/>
  <c r="K12" i="2"/>
  <c r="J12" i="2"/>
  <c r="H37" i="3"/>
  <c r="H35" i="3"/>
  <c r="K36" i="3"/>
  <c r="K37" i="3"/>
  <c r="I29" i="3"/>
  <c r="K35" i="3" s="1"/>
  <c r="D10" i="3"/>
  <c r="C10" i="3"/>
  <c r="B10" i="3"/>
  <c r="D9" i="3"/>
  <c r="C9" i="3"/>
  <c r="B14" i="3" s="1"/>
  <c r="B9" i="3"/>
  <c r="B13" i="3" s="1"/>
  <c r="B15" i="3" l="1"/>
  <c r="B16" i="3"/>
  <c r="E15" i="3" s="1"/>
  <c r="E14" i="3"/>
  <c r="E13" i="3"/>
  <c r="L31" i="2" l="1"/>
  <c r="L30" i="2"/>
  <c r="I3" i="2"/>
  <c r="E15" i="1"/>
  <c r="B13" i="1"/>
  <c r="D10" i="1"/>
  <c r="B15" i="1" s="1"/>
  <c r="C10" i="1"/>
  <c r="B14" i="1" s="1"/>
  <c r="B10" i="1"/>
  <c r="D9" i="1"/>
  <c r="C9" i="1"/>
  <c r="B9" i="1"/>
  <c r="B16" i="1" l="1"/>
  <c r="E13" i="1" l="1"/>
  <c r="E14" i="1"/>
  <c r="O12" i="2" l="1"/>
  <c r="O13" i="2" l="1"/>
  <c r="O15" i="2"/>
  <c r="O16" i="2"/>
  <c r="O14" i="2"/>
</calcChain>
</file>

<file path=xl/sharedStrings.xml><?xml version="1.0" encoding="utf-8"?>
<sst xmlns="http://schemas.openxmlformats.org/spreadsheetml/2006/main" count="196" uniqueCount="60">
  <si>
    <t>Матрица экспертных оценок для метода предпочтений</t>
  </si>
  <si>
    <t>N=</t>
  </si>
  <si>
    <t>Преобразованная матрица экспертных оценок</t>
  </si>
  <si>
    <t>С-Сумма преобразованных оценок</t>
  </si>
  <si>
    <t>С1=</t>
  </si>
  <si>
    <t>V1=</t>
  </si>
  <si>
    <t>С2=</t>
  </si>
  <si>
    <t>V2=</t>
  </si>
  <si>
    <t>С3=</t>
  </si>
  <si>
    <t>V3=</t>
  </si>
  <si>
    <t>С=</t>
  </si>
  <si>
    <t>N-Число критериев</t>
  </si>
  <si>
    <t>К1</t>
  </si>
  <si>
    <t>К2</t>
  </si>
  <si>
    <t>К3</t>
  </si>
  <si>
    <t>V-Веса критериев</t>
  </si>
  <si>
    <t>М2</t>
  </si>
  <si>
    <t>М3</t>
  </si>
  <si>
    <t>М4</t>
  </si>
  <si>
    <t>М5</t>
  </si>
  <si>
    <t>М6</t>
  </si>
  <si>
    <t>Матрица ранжирований</t>
  </si>
  <si>
    <t>Матрица парных сравнений по критерию 1</t>
  </si>
  <si>
    <t>Матрица парных сравнений по критерию 2</t>
  </si>
  <si>
    <t>Матрица парных сравнений по критерию 3</t>
  </si>
  <si>
    <t>-</t>
  </si>
  <si>
    <t>Матрица потерь</t>
  </si>
  <si>
    <t>Р2=</t>
  </si>
  <si>
    <t>Р3=</t>
  </si>
  <si>
    <t>Р4=</t>
  </si>
  <si>
    <t>Р5=</t>
  </si>
  <si>
    <t>Р6=</t>
  </si>
  <si>
    <t>Первая сокращенная матрица потерь</t>
  </si>
  <si>
    <t>Третья сокращенная матрица потерь</t>
  </si>
  <si>
    <t>Предварительное ранжирование</t>
  </si>
  <si>
    <t>Окончательное ранжирование</t>
  </si>
  <si>
    <t>Методика экспресс-анализа альтернатив</t>
  </si>
  <si>
    <t>Безразмерные оценки альтернатив</t>
  </si>
  <si>
    <t>M4</t>
  </si>
  <si>
    <t>M6</t>
  </si>
  <si>
    <t>K1</t>
  </si>
  <si>
    <t>K3</t>
  </si>
  <si>
    <t>K2</t>
  </si>
  <si>
    <t>средняя</t>
  </si>
  <si>
    <t>хорошая</t>
  </si>
  <si>
    <t>Матрица индексов согласия</t>
  </si>
  <si>
    <t>Матрица индексов несогласия</t>
  </si>
  <si>
    <t>Предельное значение индекса согласия</t>
  </si>
  <si>
    <t>M4=</t>
  </si>
  <si>
    <t>M6=</t>
  </si>
  <si>
    <t>Предельное значение индекса несогласия</t>
  </si>
  <si>
    <t>M4 M6 - лучшие</t>
  </si>
  <si>
    <t>M2, M4M6, M3M5</t>
  </si>
  <si>
    <t>M2 M4 M6 M3 M5</t>
  </si>
  <si>
    <t>M2</t>
  </si>
  <si>
    <t>развитая</t>
  </si>
  <si>
    <t>средняя(немного лучше, чем у M4)</t>
  </si>
  <si>
    <t>M2=</t>
  </si>
  <si>
    <t>M2,M4,M6 &gt; 0,5</t>
  </si>
  <si>
    <t>M4 M6 &lt;0,5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</si>
</sst>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2"/>
      <color theme="1"/>
      <name val="Calibri"/>
      <family val="2"/>
      <charset val="204"/>
      <scheme val="minor"/>
    </font>
    <font>
      <b/>
      <sz val="13"/>
      <color theme="1"/>
      <name val="Calibri (Основной текст)"/>
      <charset val="204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rgb="FF000000"/>
      <name val="Calibri (Основной текст)"/>
      <charset val="204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charset val="204"/>
      <scheme val="minor"/>
    </font>
    <font>
      <b/>
      <sz val="14"/>
      <color rgb="FF000000"/>
      <name val="Arial"/>
      <family val="2"/>
    </font>
    <font>
      <b/>
      <sz val="14"/>
      <color rgb="FF000000"/>
      <name val="Times New Roman"/>
      <family val="1"/>
    </font>
    <font>
      <sz val="12"/>
      <color rgb="FF000000"/>
      <name val="Calibri"/>
      <family val="2"/>
      <scheme val="minor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left" indent="1"/>
    </xf>
    <xf numFmtId="0" fontId="6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right"/>
    </xf>
    <xf numFmtId="164" fontId="0" fillId="0" borderId="0" xfId="0" applyNumberFormat="1"/>
    <xf numFmtId="2" fontId="0" fillId="0" borderId="0" xfId="0" applyNumberFormat="1" applyAlignment="1">
      <alignment horizontal="left"/>
    </xf>
    <xf numFmtId="0" fontId="5" fillId="0" borderId="0" xfId="0" applyFont="1" applyAlignment="1">
      <alignment horizontal="right"/>
    </xf>
    <xf numFmtId="2" fontId="6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2" fontId="0" fillId="0" borderId="0" xfId="0" applyNumberFormat="1" applyAlignment="1">
      <alignment horizontal="center"/>
    </xf>
    <xf numFmtId="0" fontId="0" fillId="0" borderId="0" xfId="0" applyAlignment="1">
      <alignment horizontal="left" indent="2"/>
    </xf>
    <xf numFmtId="0" fontId="11" fillId="0" borderId="0" xfId="0" applyFont="1" applyAlignment="1">
      <alignment horizontal="center"/>
    </xf>
    <xf numFmtId="0" fontId="1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EF79-C96D-8B4D-B125-91997604683C}">
  <dimension ref="A1:J22"/>
  <sheetViews>
    <sheetView workbookViewId="0">
      <selection activeCell="G22" sqref="G22"/>
    </sheetView>
  </sheetViews>
  <sheetFormatPr baseColWidth="10" defaultRowHeight="16" x14ac:dyDescent="0.2"/>
  <sheetData>
    <row r="1" spans="1:10" ht="17" x14ac:dyDescent="0.2">
      <c r="A1" s="1" t="s">
        <v>0</v>
      </c>
    </row>
    <row r="2" spans="1:10" x14ac:dyDescent="0.2">
      <c r="A2" s="2"/>
      <c r="B2" s="3" t="s">
        <v>12</v>
      </c>
      <c r="C2" s="3" t="s">
        <v>13</v>
      </c>
      <c r="D2" s="3" t="s">
        <v>14</v>
      </c>
      <c r="E2" s="3"/>
      <c r="G2" s="4"/>
      <c r="H2" s="5"/>
      <c r="I2" s="5"/>
      <c r="J2" s="2"/>
    </row>
    <row r="3" spans="1:10" x14ac:dyDescent="0.2">
      <c r="A3" s="3">
        <v>1</v>
      </c>
      <c r="B3" s="2">
        <v>2</v>
      </c>
      <c r="C3" s="2">
        <v>3</v>
      </c>
      <c r="D3" s="2">
        <v>1</v>
      </c>
      <c r="E3" s="2"/>
      <c r="G3" s="6" t="s">
        <v>1</v>
      </c>
      <c r="H3" s="5">
        <v>3</v>
      </c>
      <c r="I3" s="5"/>
      <c r="J3" s="2"/>
    </row>
    <row r="4" spans="1:10" x14ac:dyDescent="0.2">
      <c r="A4" s="3">
        <v>2</v>
      </c>
      <c r="B4" s="2">
        <v>3</v>
      </c>
      <c r="C4" s="2">
        <v>2</v>
      </c>
      <c r="D4" s="2">
        <v>1</v>
      </c>
      <c r="E4" s="2"/>
      <c r="J4" s="2"/>
    </row>
    <row r="5" spans="1:10" x14ac:dyDescent="0.2">
      <c r="A5" s="3"/>
      <c r="B5" s="2"/>
      <c r="C5" s="2"/>
      <c r="D5" s="2"/>
      <c r="E5" s="2"/>
      <c r="J5" s="2"/>
    </row>
    <row r="7" spans="1:10" ht="17" x14ac:dyDescent="0.2">
      <c r="A7" s="7" t="s">
        <v>2</v>
      </c>
      <c r="B7" s="7"/>
      <c r="C7" s="7"/>
      <c r="D7" s="7"/>
      <c r="G7" t="s">
        <v>11</v>
      </c>
    </row>
    <row r="8" spans="1:10" x14ac:dyDescent="0.2">
      <c r="B8" s="3" t="s">
        <v>12</v>
      </c>
      <c r="C8" s="3" t="s">
        <v>13</v>
      </c>
      <c r="D8" s="3" t="s">
        <v>14</v>
      </c>
      <c r="E8" s="3"/>
      <c r="G8" t="s">
        <v>3</v>
      </c>
    </row>
    <row r="9" spans="1:10" x14ac:dyDescent="0.2">
      <c r="A9" s="3">
        <v>1</v>
      </c>
      <c r="B9" s="2">
        <f>H3-B3</f>
        <v>1</v>
      </c>
      <c r="C9" s="2">
        <f>H3-C3</f>
        <v>0</v>
      </c>
      <c r="D9" s="2">
        <f>H3-D3</f>
        <v>2</v>
      </c>
      <c r="E9" s="2"/>
      <c r="G9" t="s">
        <v>15</v>
      </c>
    </row>
    <row r="10" spans="1:10" x14ac:dyDescent="0.2">
      <c r="A10" s="3">
        <v>2</v>
      </c>
      <c r="B10" s="2">
        <f>H3-B4</f>
        <v>0</v>
      </c>
      <c r="C10" s="2">
        <f>H3-C4</f>
        <v>1</v>
      </c>
      <c r="D10" s="2">
        <f>H3-D4</f>
        <v>2</v>
      </c>
      <c r="E10" s="2"/>
    </row>
    <row r="11" spans="1:10" x14ac:dyDescent="0.2">
      <c r="A11" s="3"/>
      <c r="B11" s="2"/>
      <c r="C11" s="2"/>
      <c r="D11" s="2"/>
      <c r="E11" s="2"/>
    </row>
    <row r="13" spans="1:10" x14ac:dyDescent="0.2">
      <c r="A13" s="4" t="s">
        <v>4</v>
      </c>
      <c r="B13" s="5">
        <f>SUM(B9:B10)</f>
        <v>1</v>
      </c>
      <c r="D13" s="6" t="s">
        <v>5</v>
      </c>
      <c r="E13" s="8">
        <f>B13/$B$16</f>
        <v>0.16666666666666666</v>
      </c>
    </row>
    <row r="14" spans="1:10" x14ac:dyDescent="0.2">
      <c r="A14" s="4" t="s">
        <v>6</v>
      </c>
      <c r="B14" s="5">
        <f>SUM(C9:C10)</f>
        <v>1</v>
      </c>
      <c r="D14" s="6" t="s">
        <v>7</v>
      </c>
      <c r="E14" s="8">
        <f>B14/$B$16</f>
        <v>0.16666666666666666</v>
      </c>
    </row>
    <row r="15" spans="1:10" x14ac:dyDescent="0.2">
      <c r="A15" s="4" t="s">
        <v>8</v>
      </c>
      <c r="B15" s="5">
        <f>SUM(D9:D10)</f>
        <v>4</v>
      </c>
      <c r="D15" s="6" t="s">
        <v>9</v>
      </c>
      <c r="E15" s="8">
        <f>B15/$B$16</f>
        <v>0.66666666666666663</v>
      </c>
    </row>
    <row r="16" spans="1:10" x14ac:dyDescent="0.2">
      <c r="A16" s="4" t="s">
        <v>10</v>
      </c>
      <c r="B16" s="5">
        <f>SUM(B13:B15)</f>
        <v>6</v>
      </c>
      <c r="D16" s="6"/>
      <c r="E16" s="8"/>
    </row>
    <row r="19" spans="1:5" x14ac:dyDescent="0.2">
      <c r="A19" s="4"/>
      <c r="B19" s="5"/>
      <c r="D19" s="6"/>
      <c r="E19" s="5"/>
    </row>
    <row r="20" spans="1:5" x14ac:dyDescent="0.2">
      <c r="A20" s="4"/>
      <c r="B20" s="5"/>
      <c r="D20" s="4"/>
      <c r="E20" s="5"/>
    </row>
    <row r="21" spans="1:5" x14ac:dyDescent="0.2">
      <c r="A21" s="4"/>
      <c r="B21" s="5"/>
      <c r="D21" s="4"/>
      <c r="E21" s="9"/>
    </row>
    <row r="22" spans="1:5" x14ac:dyDescent="0.2">
      <c r="A22" s="4"/>
      <c r="B2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4C3D-D5A0-8741-9E32-F71285E05B68}">
  <dimension ref="A1:O40"/>
  <sheetViews>
    <sheetView topLeftCell="A11" zoomScale="106" workbookViewId="0">
      <selection activeCell="J39" sqref="J39"/>
    </sheetView>
  </sheetViews>
  <sheetFormatPr baseColWidth="10" defaultRowHeight="16" x14ac:dyDescent="0.2"/>
  <sheetData>
    <row r="1" spans="1:15" ht="19" x14ac:dyDescent="0.25">
      <c r="A1" s="10" t="s">
        <v>21</v>
      </c>
    </row>
    <row r="3" spans="1:15" x14ac:dyDescent="0.2"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H3" s="6" t="s">
        <v>5</v>
      </c>
      <c r="I3" s="8">
        <f>0.167</f>
        <v>0.16700000000000001</v>
      </c>
    </row>
    <row r="4" spans="1:15" x14ac:dyDescent="0.2">
      <c r="A4" s="11" t="s">
        <v>12</v>
      </c>
      <c r="B4" s="14">
        <v>5</v>
      </c>
      <c r="C4" s="14">
        <v>2</v>
      </c>
      <c r="D4" s="14">
        <v>3</v>
      </c>
      <c r="E4" s="14">
        <v>1</v>
      </c>
      <c r="F4" s="14">
        <v>4</v>
      </c>
      <c r="H4" s="6" t="s">
        <v>7</v>
      </c>
      <c r="I4" s="8">
        <v>0.16700000000000001</v>
      </c>
    </row>
    <row r="5" spans="1:15" x14ac:dyDescent="0.2">
      <c r="A5" s="11" t="s">
        <v>13</v>
      </c>
      <c r="B5" s="14">
        <v>1</v>
      </c>
      <c r="C5" s="14">
        <v>1</v>
      </c>
      <c r="D5" s="14">
        <v>3</v>
      </c>
      <c r="E5" s="14">
        <v>4</v>
      </c>
      <c r="F5" s="14">
        <v>2</v>
      </c>
      <c r="H5" s="6" t="s">
        <v>9</v>
      </c>
      <c r="I5" s="8">
        <v>0.66700000000000004</v>
      </c>
    </row>
    <row r="6" spans="1:15" x14ac:dyDescent="0.2">
      <c r="A6" s="11" t="s">
        <v>14</v>
      </c>
      <c r="B6" s="14">
        <v>1</v>
      </c>
      <c r="C6" s="14">
        <v>2</v>
      </c>
      <c r="D6" s="14">
        <v>1</v>
      </c>
      <c r="E6" s="14">
        <v>2</v>
      </c>
      <c r="F6" s="14">
        <v>1</v>
      </c>
    </row>
    <row r="7" spans="1:15" x14ac:dyDescent="0.2">
      <c r="A7" s="11"/>
      <c r="B7" s="12"/>
      <c r="C7" s="12"/>
      <c r="D7" s="12"/>
      <c r="E7" s="12"/>
      <c r="F7" s="12"/>
    </row>
    <row r="8" spans="1:15" x14ac:dyDescent="0.2">
      <c r="A8" s="11"/>
      <c r="B8" s="12"/>
      <c r="C8" s="13"/>
      <c r="D8" s="12"/>
      <c r="E8" s="12"/>
      <c r="F8" s="12"/>
    </row>
    <row r="9" spans="1:15" x14ac:dyDescent="0.2">
      <c r="A9" s="15" t="s">
        <v>22</v>
      </c>
      <c r="H9" s="21" t="s">
        <v>26</v>
      </c>
    </row>
    <row r="11" spans="1:15" x14ac:dyDescent="0.2">
      <c r="A11" s="16"/>
      <c r="B11" s="17" t="s">
        <v>16</v>
      </c>
      <c r="C11" s="17" t="s">
        <v>17</v>
      </c>
      <c r="D11" s="17" t="s">
        <v>18</v>
      </c>
      <c r="E11" s="17" t="s">
        <v>19</v>
      </c>
      <c r="F11" s="17" t="s">
        <v>20</v>
      </c>
      <c r="H11" s="16"/>
      <c r="I11" s="17" t="s">
        <v>16</v>
      </c>
      <c r="J11" s="17" t="s">
        <v>17</v>
      </c>
      <c r="K11" s="17" t="s">
        <v>18</v>
      </c>
      <c r="L11" s="17" t="s">
        <v>19</v>
      </c>
      <c r="M11" s="17" t="s">
        <v>20</v>
      </c>
    </row>
    <row r="12" spans="1:15" x14ac:dyDescent="0.2">
      <c r="A12" s="17" t="s">
        <v>16</v>
      </c>
      <c r="B12" s="18" t="s">
        <v>25</v>
      </c>
      <c r="C12" s="20">
        <v>-1</v>
      </c>
      <c r="D12" s="20">
        <v>-1</v>
      </c>
      <c r="E12" s="20">
        <v>-1</v>
      </c>
      <c r="F12" s="20">
        <v>-1</v>
      </c>
      <c r="H12" s="17" t="s">
        <v>16</v>
      </c>
      <c r="I12" s="19" t="s">
        <v>25</v>
      </c>
      <c r="J12" s="26">
        <f>I3*ABS(C12-1)+I4*ABS(C22-1)+I5*ABS(C32-1)</f>
        <v>0.501</v>
      </c>
      <c r="K12" s="26">
        <f>I3*ABS(D12-1)+I4*ABS(D22-1)+I5*ABS(D32-1)</f>
        <v>1.0010000000000001</v>
      </c>
      <c r="L12" s="26">
        <f>I3*ABS(E12-1)+I4*ABS(E22-1)+I5*ABS(E32-1)</f>
        <v>0.33400000000000002</v>
      </c>
      <c r="M12" s="26">
        <f>I3*ABS(F12-1)+I4*ABS(F22-1)+I5*ABS(F32-1)</f>
        <v>1.0010000000000001</v>
      </c>
      <c r="N12" s="22" t="s">
        <v>27</v>
      </c>
      <c r="O12" s="24">
        <f>SUM(J12:M12)</f>
        <v>2.8370000000000006</v>
      </c>
    </row>
    <row r="13" spans="1:15" x14ac:dyDescent="0.2">
      <c r="A13" s="17" t="s">
        <v>17</v>
      </c>
      <c r="B13" s="18">
        <v>1</v>
      </c>
      <c r="C13" s="18" t="s">
        <v>25</v>
      </c>
      <c r="D13" s="18">
        <v>1</v>
      </c>
      <c r="E13" s="18">
        <v>-1</v>
      </c>
      <c r="F13" s="18">
        <v>1</v>
      </c>
      <c r="H13" s="17" t="s">
        <v>17</v>
      </c>
      <c r="I13" s="26">
        <f>I3*ABS(B13-1)+I4*ABS(B23-1)+I5*ABS(B33-1)</f>
        <v>1.5010000000000001</v>
      </c>
      <c r="J13" s="26" t="s">
        <v>25</v>
      </c>
      <c r="K13" s="26">
        <f>I3*ABS(D13-1)+I4*ABS(D23-1)+I5*ABS(D33-1)</f>
        <v>1.3340000000000001</v>
      </c>
      <c r="L13" s="26">
        <f>I3*ABS(E13-1)+I4*ABS(E23-1)+I5*ABS(E33-1)</f>
        <v>1.0010000000000001</v>
      </c>
      <c r="M13" s="26">
        <f>I3*ABS(F13-1)+I4*ABS(F23-1)+I5*ABS(F33-1)</f>
        <v>1.3340000000000001</v>
      </c>
      <c r="N13" s="22" t="s">
        <v>28</v>
      </c>
      <c r="O13" s="24">
        <f>SUM(I13:M13)</f>
        <v>5.17</v>
      </c>
    </row>
    <row r="14" spans="1:15" x14ac:dyDescent="0.2">
      <c r="A14" s="17" t="s">
        <v>18</v>
      </c>
      <c r="B14" s="18">
        <v>1</v>
      </c>
      <c r="C14" s="18">
        <v>-1</v>
      </c>
      <c r="D14" s="18" t="s">
        <v>25</v>
      </c>
      <c r="E14" s="20">
        <v>-1</v>
      </c>
      <c r="F14" s="18">
        <v>1</v>
      </c>
      <c r="H14" s="17" t="s">
        <v>18</v>
      </c>
      <c r="I14" s="26">
        <f>$I3*ABS(B14-1)+$I4*ABS(B24-1)+$I5*ABS(B34-1)</f>
        <v>1.0010000000000001</v>
      </c>
      <c r="J14" s="26">
        <f>$I3*ABS(C14-1)+$I4*ABS(C24-1)+$I5*ABS(C34-1)</f>
        <v>0.66800000000000004</v>
      </c>
      <c r="K14" s="26" t="s">
        <v>25</v>
      </c>
      <c r="L14" s="26">
        <f>$I3*ABS(E14-1)+$I4*ABS(E24-1)+$I5*ABS(E34-1)</f>
        <v>0.33400000000000002</v>
      </c>
      <c r="M14" s="26">
        <f>$I3*ABS(F14-1)+$I4*ABS(F24-1)+$I5*ABS(F34-1)</f>
        <v>1.0010000000000001</v>
      </c>
      <c r="N14" s="22" t="s">
        <v>29</v>
      </c>
      <c r="O14" s="24">
        <f>SUM(I14:M14)</f>
        <v>3.0040000000000004</v>
      </c>
    </row>
    <row r="15" spans="1:15" x14ac:dyDescent="0.2">
      <c r="A15" s="17" t="s">
        <v>19</v>
      </c>
      <c r="B15" s="18">
        <v>1</v>
      </c>
      <c r="C15" s="18">
        <v>1</v>
      </c>
      <c r="D15" s="18">
        <v>1</v>
      </c>
      <c r="E15" s="18" t="s">
        <v>25</v>
      </c>
      <c r="F15" s="18">
        <v>1</v>
      </c>
      <c r="H15" s="17" t="s">
        <v>19</v>
      </c>
      <c r="I15" s="26">
        <f>$I3*ABS(B15-1)+$I4*ABS(B25-1)+$I5*ABS(B35-1)</f>
        <v>1.6680000000000001</v>
      </c>
      <c r="J15" s="26">
        <f>$I3*ABS(C15-1)+$I4*ABS(C25-1)+$I5*ABS(C35-1)</f>
        <v>1.0010000000000001</v>
      </c>
      <c r="K15" s="26">
        <f>$I3*ABS(D15-1)+$I4*ABS(D25-1)+$I5*ABS(D35-1)</f>
        <v>1.6680000000000001</v>
      </c>
      <c r="L15" s="26" t="s">
        <v>25</v>
      </c>
      <c r="M15" s="26">
        <f>$I3*ABS(F15-1)+$I4*ABS(F25-1)+$I5*ABS(F35-1)</f>
        <v>1.6680000000000001</v>
      </c>
      <c r="N15" s="22" t="s">
        <v>30</v>
      </c>
      <c r="O15" s="24">
        <f>SUM(I15:M15)</f>
        <v>6.0050000000000008</v>
      </c>
    </row>
    <row r="16" spans="1:15" x14ac:dyDescent="0.2">
      <c r="A16" s="17" t="s">
        <v>20</v>
      </c>
      <c r="B16" s="18">
        <v>1</v>
      </c>
      <c r="C16" s="20">
        <v>-1</v>
      </c>
      <c r="D16" s="18">
        <v>-1</v>
      </c>
      <c r="E16" s="18">
        <v>-1</v>
      </c>
      <c r="F16" s="18" t="s">
        <v>25</v>
      </c>
      <c r="H16" s="17" t="s">
        <v>20</v>
      </c>
      <c r="I16" s="26">
        <f>$I3*ABS(B16-1)+$I4*ABS(B26-1)+$I5*ABS(B36-1)</f>
        <v>1.0010000000000001</v>
      </c>
      <c r="J16" s="26">
        <f>$I3*ABS(C16-1)+$I4*ABS(C26-1)+$I5*ABS(C36-1)</f>
        <v>0.66800000000000004</v>
      </c>
      <c r="K16" s="26">
        <f>$I3*ABS(D16-1)+$I4*ABS(D26-1)+$I5*ABS(D36-1)</f>
        <v>1.0010000000000001</v>
      </c>
      <c r="L16" s="26">
        <f>$I3*ABS(E16-1)+$I4*ABS(E26-1)+$I5*ABS(E36-1)</f>
        <v>0.33400000000000002</v>
      </c>
      <c r="M16" s="26" t="s">
        <v>25</v>
      </c>
      <c r="N16" s="22" t="s">
        <v>31</v>
      </c>
      <c r="O16" s="24">
        <f>SUM(I16:L16)</f>
        <v>3.004</v>
      </c>
    </row>
    <row r="19" spans="1:15" x14ac:dyDescent="0.2">
      <c r="A19" s="15" t="s">
        <v>23</v>
      </c>
      <c r="H19" s="21" t="s">
        <v>32</v>
      </c>
    </row>
    <row r="21" spans="1:15" x14ac:dyDescent="0.2">
      <c r="A21" s="16"/>
      <c r="B21" s="17" t="s">
        <v>16</v>
      </c>
      <c r="C21" s="17" t="s">
        <v>17</v>
      </c>
      <c r="D21" s="17" t="s">
        <v>18</v>
      </c>
      <c r="E21" s="17" t="s">
        <v>19</v>
      </c>
      <c r="F21" s="17" t="s">
        <v>20</v>
      </c>
      <c r="H21" s="16"/>
      <c r="I21" s="17" t="s">
        <v>17</v>
      </c>
      <c r="J21" s="17" t="s">
        <v>18</v>
      </c>
      <c r="K21" s="17" t="s">
        <v>19</v>
      </c>
      <c r="L21" s="17" t="s">
        <v>20</v>
      </c>
    </row>
    <row r="22" spans="1:15" x14ac:dyDescent="0.2">
      <c r="A22" s="17" t="s">
        <v>16</v>
      </c>
      <c r="B22" s="18" t="s">
        <v>25</v>
      </c>
      <c r="C22" s="20">
        <v>0</v>
      </c>
      <c r="D22" s="20">
        <v>1</v>
      </c>
      <c r="E22" s="20">
        <v>1</v>
      </c>
      <c r="F22" s="20">
        <v>1</v>
      </c>
      <c r="H22" s="17" t="s">
        <v>17</v>
      </c>
      <c r="I22" s="19" t="s">
        <v>25</v>
      </c>
      <c r="J22" s="26">
        <v>1.33</v>
      </c>
      <c r="K22" s="26">
        <v>1</v>
      </c>
      <c r="L22" s="31">
        <v>1.33</v>
      </c>
      <c r="M22" s="22" t="s">
        <v>28</v>
      </c>
      <c r="N22" s="24">
        <f>SUM(J22:L22)</f>
        <v>3.66</v>
      </c>
    </row>
    <row r="23" spans="1:15" x14ac:dyDescent="0.2">
      <c r="A23" s="17" t="s">
        <v>17</v>
      </c>
      <c r="B23" s="18">
        <v>0</v>
      </c>
      <c r="C23" s="18" t="s">
        <v>25</v>
      </c>
      <c r="D23" s="18">
        <v>1</v>
      </c>
      <c r="E23" s="18">
        <v>1</v>
      </c>
      <c r="F23" s="18">
        <v>1</v>
      </c>
      <c r="H23" s="17" t="s">
        <v>18</v>
      </c>
      <c r="I23" s="26">
        <v>0.67</v>
      </c>
      <c r="J23" s="12" t="s">
        <v>25</v>
      </c>
      <c r="K23" s="12">
        <v>0.33</v>
      </c>
      <c r="L23" s="12">
        <v>1</v>
      </c>
      <c r="M23" s="22" t="s">
        <v>29</v>
      </c>
      <c r="N23" s="24">
        <f>SUM(I23:L23)</f>
        <v>2</v>
      </c>
    </row>
    <row r="24" spans="1:15" x14ac:dyDescent="0.2">
      <c r="A24" s="17" t="s">
        <v>18</v>
      </c>
      <c r="B24" s="18">
        <v>-1</v>
      </c>
      <c r="C24" s="18">
        <v>-1</v>
      </c>
      <c r="D24" s="18" t="s">
        <v>25</v>
      </c>
      <c r="E24" s="20">
        <v>1</v>
      </c>
      <c r="F24" s="18">
        <v>-1</v>
      </c>
      <c r="H24" s="17" t="s">
        <v>19</v>
      </c>
      <c r="I24" s="26">
        <v>1</v>
      </c>
      <c r="J24" s="26">
        <v>1.67</v>
      </c>
      <c r="K24" s="12" t="s">
        <v>25</v>
      </c>
      <c r="L24" s="26">
        <v>1.67</v>
      </c>
      <c r="M24" s="22" t="s">
        <v>30</v>
      </c>
      <c r="N24" s="24">
        <f>SUM(I24:L24)</f>
        <v>4.34</v>
      </c>
      <c r="O24" s="26"/>
    </row>
    <row r="25" spans="1:15" x14ac:dyDescent="0.2">
      <c r="A25" s="17" t="s">
        <v>19</v>
      </c>
      <c r="B25" s="18">
        <v>-1</v>
      </c>
      <c r="C25" s="18">
        <v>-1</v>
      </c>
      <c r="D25" s="18">
        <v>-1</v>
      </c>
      <c r="E25" s="18" t="s">
        <v>25</v>
      </c>
      <c r="F25" s="18">
        <v>-1</v>
      </c>
      <c r="H25" s="17" t="s">
        <v>20</v>
      </c>
      <c r="I25" s="19">
        <v>0.67</v>
      </c>
      <c r="J25" s="12">
        <v>1</v>
      </c>
      <c r="K25" s="12">
        <v>0.33</v>
      </c>
      <c r="L25" s="26" t="s">
        <v>25</v>
      </c>
      <c r="M25" s="22" t="s">
        <v>31</v>
      </c>
      <c r="N25" s="24">
        <f>SUM(I25:K25)</f>
        <v>2</v>
      </c>
      <c r="O25" s="26"/>
    </row>
    <row r="26" spans="1:15" x14ac:dyDescent="0.2">
      <c r="A26" s="17" t="s">
        <v>20</v>
      </c>
      <c r="B26" s="18">
        <v>-1</v>
      </c>
      <c r="C26" s="20">
        <v>-1</v>
      </c>
      <c r="D26" s="18">
        <v>1</v>
      </c>
      <c r="E26" s="18">
        <v>1</v>
      </c>
      <c r="F26" s="18" t="s">
        <v>25</v>
      </c>
      <c r="L26" s="26"/>
      <c r="M26" s="26"/>
      <c r="N26" s="26"/>
      <c r="O26" s="26"/>
    </row>
    <row r="27" spans="1:15" x14ac:dyDescent="0.2">
      <c r="H27" s="21" t="s">
        <v>33</v>
      </c>
      <c r="L27" s="26"/>
      <c r="M27" s="26"/>
      <c r="N27" s="26"/>
      <c r="O27" s="26"/>
    </row>
    <row r="29" spans="1:15" x14ac:dyDescent="0.2">
      <c r="A29" s="15" t="s">
        <v>24</v>
      </c>
      <c r="I29" s="17" t="s">
        <v>17</v>
      </c>
      <c r="J29" s="17" t="s">
        <v>19</v>
      </c>
    </row>
    <row r="30" spans="1:15" x14ac:dyDescent="0.2">
      <c r="H30" s="17" t="s">
        <v>17</v>
      </c>
      <c r="I30" s="26" t="s">
        <v>25</v>
      </c>
      <c r="J30" s="26">
        <v>1</v>
      </c>
      <c r="K30" s="25" t="s">
        <v>28</v>
      </c>
      <c r="L30" s="24">
        <f>J30</f>
        <v>1</v>
      </c>
      <c r="M30" s="22"/>
      <c r="N30" s="24"/>
    </row>
    <row r="31" spans="1:15" x14ac:dyDescent="0.2">
      <c r="A31" s="16"/>
      <c r="B31" s="17" t="s">
        <v>16</v>
      </c>
      <c r="C31" s="17" t="s">
        <v>17</v>
      </c>
      <c r="D31" s="17" t="s">
        <v>18</v>
      </c>
      <c r="E31" s="17" t="s">
        <v>19</v>
      </c>
      <c r="F31" s="17" t="s">
        <v>20</v>
      </c>
      <c r="H31" s="17" t="s">
        <v>19</v>
      </c>
      <c r="I31" s="26">
        <v>1</v>
      </c>
      <c r="J31" s="26" t="s">
        <v>25</v>
      </c>
      <c r="K31" s="25" t="s">
        <v>30</v>
      </c>
      <c r="L31" s="24">
        <f>I31</f>
        <v>1</v>
      </c>
      <c r="M31" s="24"/>
    </row>
    <row r="32" spans="1:15" x14ac:dyDescent="0.2">
      <c r="A32" s="17" t="s">
        <v>16</v>
      </c>
      <c r="B32" s="18" t="s">
        <v>25</v>
      </c>
      <c r="C32" s="20">
        <v>1</v>
      </c>
      <c r="D32" s="20">
        <v>0</v>
      </c>
      <c r="E32" s="20">
        <v>1</v>
      </c>
      <c r="F32" s="20">
        <v>0</v>
      </c>
      <c r="H32" s="17"/>
      <c r="I32" s="19"/>
      <c r="J32" s="19"/>
      <c r="K32" s="19"/>
      <c r="L32" s="22"/>
      <c r="M32" s="24"/>
    </row>
    <row r="33" spans="1:13" x14ac:dyDescent="0.2">
      <c r="A33" s="17" t="s">
        <v>17</v>
      </c>
      <c r="B33" s="18">
        <v>-1</v>
      </c>
      <c r="C33" s="18" t="s">
        <v>25</v>
      </c>
      <c r="D33" s="18">
        <v>-1</v>
      </c>
      <c r="E33" s="18">
        <v>0</v>
      </c>
      <c r="F33" s="18">
        <v>-1</v>
      </c>
      <c r="H33" s="17"/>
      <c r="I33" s="19"/>
      <c r="J33" s="19"/>
      <c r="K33" s="19"/>
      <c r="L33" s="22"/>
      <c r="M33" s="24"/>
    </row>
    <row r="34" spans="1:13" x14ac:dyDescent="0.2">
      <c r="A34" s="17" t="s">
        <v>18</v>
      </c>
      <c r="B34" s="18">
        <v>0</v>
      </c>
      <c r="C34" s="18">
        <v>1</v>
      </c>
      <c r="D34" s="18" t="s">
        <v>25</v>
      </c>
      <c r="E34" s="20">
        <v>1</v>
      </c>
      <c r="F34" s="18">
        <v>0</v>
      </c>
      <c r="H34" s="21" t="s">
        <v>34</v>
      </c>
      <c r="I34" s="21"/>
      <c r="J34" s="21"/>
      <c r="K34" s="17"/>
      <c r="L34" s="17"/>
    </row>
    <row r="35" spans="1:13" x14ac:dyDescent="0.2">
      <c r="A35" s="17" t="s">
        <v>19</v>
      </c>
      <c r="B35" s="18">
        <v>-1</v>
      </c>
      <c r="C35" s="18">
        <v>0</v>
      </c>
      <c r="D35" s="18">
        <v>-1</v>
      </c>
      <c r="E35" s="18" t="s">
        <v>25</v>
      </c>
      <c r="F35" s="18">
        <v>-1</v>
      </c>
      <c r="H35" t="s">
        <v>52</v>
      </c>
      <c r="K35" s="26"/>
      <c r="L35" s="26"/>
    </row>
    <row r="36" spans="1:13" x14ac:dyDescent="0.2">
      <c r="A36" s="17" t="s">
        <v>20</v>
      </c>
      <c r="B36" s="18">
        <v>0</v>
      </c>
      <c r="C36" s="20">
        <v>1</v>
      </c>
      <c r="D36" s="18">
        <v>0</v>
      </c>
      <c r="E36" s="18">
        <v>1</v>
      </c>
      <c r="F36" s="18" t="s">
        <v>25</v>
      </c>
      <c r="K36" s="12"/>
      <c r="L36" s="12"/>
    </row>
    <row r="37" spans="1:13" x14ac:dyDescent="0.2">
      <c r="H37" s="21" t="s">
        <v>35</v>
      </c>
      <c r="I37" s="21"/>
      <c r="J37" s="21"/>
      <c r="K37" s="26"/>
      <c r="L37" s="12"/>
    </row>
    <row r="38" spans="1:13" x14ac:dyDescent="0.2">
      <c r="H38" t="s">
        <v>53</v>
      </c>
    </row>
    <row r="39" spans="1:13" x14ac:dyDescent="0.2">
      <c r="H39" s="17"/>
      <c r="I39" s="19"/>
      <c r="J39" s="19"/>
      <c r="K39" s="25"/>
      <c r="L39" s="23"/>
    </row>
    <row r="40" spans="1:13" x14ac:dyDescent="0.2">
      <c r="H40" s="17"/>
      <c r="I40" s="19"/>
      <c r="J40" s="19"/>
      <c r="K40" s="25"/>
      <c r="L40" s="23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81AC-FB42-C740-87AC-30D01E0116E3}">
  <dimension ref="A1:K42"/>
  <sheetViews>
    <sheetView tabSelected="1" topLeftCell="A14" workbookViewId="0">
      <selection activeCell="H44" sqref="H44"/>
    </sheetView>
  </sheetViews>
  <sheetFormatPr baseColWidth="10" defaultRowHeight="16" x14ac:dyDescent="0.2"/>
  <cols>
    <col min="9" max="9" width="11" customWidth="1"/>
    <col min="10" max="10" width="30" customWidth="1"/>
  </cols>
  <sheetData>
    <row r="1" spans="1:10" ht="18" x14ac:dyDescent="0.2">
      <c r="A1" s="1" t="s">
        <v>0</v>
      </c>
      <c r="G1" s="27" t="s">
        <v>36</v>
      </c>
    </row>
    <row r="2" spans="1:10" x14ac:dyDescent="0.2">
      <c r="A2" s="2"/>
      <c r="B2" s="3" t="s">
        <v>12</v>
      </c>
      <c r="C2" s="3" t="s">
        <v>13</v>
      </c>
      <c r="D2" s="3" t="s">
        <v>14</v>
      </c>
      <c r="E2" s="3"/>
    </row>
    <row r="3" spans="1:10" ht="18" x14ac:dyDescent="0.2">
      <c r="A3" s="3">
        <v>1</v>
      </c>
      <c r="B3" s="2">
        <v>2</v>
      </c>
      <c r="C3" s="2">
        <v>3</v>
      </c>
      <c r="D3" s="2">
        <v>1</v>
      </c>
      <c r="E3" s="2"/>
      <c r="G3" s="28"/>
    </row>
    <row r="4" spans="1:10" x14ac:dyDescent="0.2">
      <c r="A4" s="3">
        <v>2</v>
      </c>
      <c r="B4" s="2">
        <v>3</v>
      </c>
      <c r="C4" s="2">
        <v>2</v>
      </c>
      <c r="D4" s="2">
        <v>1</v>
      </c>
      <c r="E4" s="2"/>
      <c r="H4" s="11" t="s">
        <v>54</v>
      </c>
      <c r="I4" s="11" t="s">
        <v>38</v>
      </c>
      <c r="J4" s="11" t="s">
        <v>39</v>
      </c>
    </row>
    <row r="5" spans="1:10" x14ac:dyDescent="0.2">
      <c r="A5" s="3"/>
      <c r="B5" s="2"/>
      <c r="C5" s="2"/>
      <c r="D5" s="2"/>
      <c r="E5" s="2"/>
      <c r="G5" s="3" t="s">
        <v>40</v>
      </c>
      <c r="H5" s="12">
        <v>2</v>
      </c>
      <c r="I5" s="12">
        <v>5</v>
      </c>
      <c r="J5" s="12">
        <v>4</v>
      </c>
    </row>
    <row r="6" spans="1:10" x14ac:dyDescent="0.2">
      <c r="G6" s="11" t="s">
        <v>42</v>
      </c>
      <c r="H6" s="12" t="s">
        <v>55</v>
      </c>
      <c r="I6" s="12" t="s">
        <v>43</v>
      </c>
      <c r="J6" s="12" t="s">
        <v>56</v>
      </c>
    </row>
    <row r="7" spans="1:10" ht="17" x14ac:dyDescent="0.2">
      <c r="A7" s="7" t="s">
        <v>2</v>
      </c>
      <c r="B7" s="7"/>
      <c r="C7" s="7"/>
      <c r="D7" s="7"/>
      <c r="G7" s="11" t="s">
        <v>41</v>
      </c>
      <c r="H7" s="12" t="s">
        <v>44</v>
      </c>
      <c r="I7" s="12" t="s">
        <v>44</v>
      </c>
      <c r="J7" s="12" t="s">
        <v>44</v>
      </c>
    </row>
    <row r="8" spans="1:10" x14ac:dyDescent="0.2">
      <c r="B8" s="3" t="s">
        <v>12</v>
      </c>
      <c r="C8" s="3" t="s">
        <v>13</v>
      </c>
      <c r="D8" s="3" t="s">
        <v>14</v>
      </c>
      <c r="E8" s="3"/>
      <c r="G8" s="3"/>
      <c r="H8" s="12"/>
      <c r="I8" s="12"/>
      <c r="J8" s="12"/>
    </row>
    <row r="9" spans="1:10" x14ac:dyDescent="0.2">
      <c r="A9" s="3">
        <v>1</v>
      </c>
      <c r="B9" s="2">
        <f>H3-B3</f>
        <v>-2</v>
      </c>
      <c r="C9" s="2">
        <f>H3-C3</f>
        <v>-3</v>
      </c>
      <c r="D9" s="2">
        <f>H3-D3</f>
        <v>-1</v>
      </c>
      <c r="E9" s="2"/>
      <c r="G9" s="11"/>
      <c r="H9" s="12"/>
      <c r="I9" s="12"/>
      <c r="J9" s="12"/>
    </row>
    <row r="10" spans="1:10" x14ac:dyDescent="0.2">
      <c r="A10" s="3">
        <v>2</v>
      </c>
      <c r="B10" s="2">
        <f>H3-B4</f>
        <v>-3</v>
      </c>
      <c r="C10" s="2">
        <f>H3-C4</f>
        <v>-2</v>
      </c>
      <c r="D10" s="2">
        <f>H3-D4</f>
        <v>-1</v>
      </c>
      <c r="E10" s="2"/>
      <c r="G10" s="11"/>
      <c r="H10" s="12"/>
      <c r="I10" s="12"/>
      <c r="J10" s="12"/>
    </row>
    <row r="11" spans="1:10" x14ac:dyDescent="0.2">
      <c r="A11" s="3"/>
      <c r="B11" s="2"/>
      <c r="C11" s="2"/>
      <c r="D11" s="2"/>
      <c r="E11" s="2"/>
      <c r="G11" s="21" t="s">
        <v>37</v>
      </c>
      <c r="H11" s="21"/>
      <c r="I11" s="21"/>
    </row>
    <row r="12" spans="1:10" x14ac:dyDescent="0.2">
      <c r="H12" s="11" t="s">
        <v>54</v>
      </c>
      <c r="I12" s="11" t="s">
        <v>38</v>
      </c>
      <c r="J12" s="11" t="s">
        <v>39</v>
      </c>
    </row>
    <row r="13" spans="1:10" x14ac:dyDescent="0.2">
      <c r="A13" s="4" t="s">
        <v>4</v>
      </c>
      <c r="B13" s="5">
        <f>SUM(B9:B10)</f>
        <v>-5</v>
      </c>
      <c r="D13" s="6" t="s">
        <v>5</v>
      </c>
      <c r="E13" s="8">
        <f>B13/$B$16</f>
        <v>0.41666666666666669</v>
      </c>
      <c r="G13" s="3" t="s">
        <v>40</v>
      </c>
      <c r="H13" s="29">
        <f>H5/I5</f>
        <v>0.4</v>
      </c>
      <c r="I13" s="29">
        <v>1</v>
      </c>
      <c r="J13" s="29">
        <f>J5/I5</f>
        <v>0.8</v>
      </c>
    </row>
    <row r="14" spans="1:10" x14ac:dyDescent="0.2">
      <c r="A14" s="4" t="s">
        <v>6</v>
      </c>
      <c r="B14" s="5">
        <f>SUM(C9:C10)</f>
        <v>-5</v>
      </c>
      <c r="D14" s="6" t="s">
        <v>7</v>
      </c>
      <c r="E14" s="8">
        <f>B14/$B$16</f>
        <v>0.41666666666666669</v>
      </c>
      <c r="G14" s="11" t="s">
        <v>42</v>
      </c>
      <c r="H14" s="12">
        <v>1</v>
      </c>
      <c r="I14" s="12">
        <v>0.6</v>
      </c>
      <c r="J14" s="12">
        <v>0.7</v>
      </c>
    </row>
    <row r="15" spans="1:10" x14ac:dyDescent="0.2">
      <c r="A15" s="4" t="s">
        <v>8</v>
      </c>
      <c r="B15" s="5">
        <f>SUM(D9:D10)</f>
        <v>-2</v>
      </c>
      <c r="D15" s="6" t="s">
        <v>9</v>
      </c>
      <c r="E15" s="8">
        <f>B15/$B$16</f>
        <v>0.16666666666666666</v>
      </c>
      <c r="G15" s="11" t="s">
        <v>41</v>
      </c>
      <c r="H15" s="12">
        <v>1</v>
      </c>
      <c r="I15" s="12">
        <v>1</v>
      </c>
      <c r="J15" s="12">
        <v>1</v>
      </c>
    </row>
    <row r="16" spans="1:10" x14ac:dyDescent="0.2">
      <c r="A16" s="4" t="s">
        <v>10</v>
      </c>
      <c r="B16" s="5">
        <f>SUM(B13:B15)</f>
        <v>-12</v>
      </c>
      <c r="D16" s="6"/>
      <c r="E16" s="8"/>
    </row>
    <row r="19" spans="7:10" x14ac:dyDescent="0.2">
      <c r="G19" s="32" t="s">
        <v>45</v>
      </c>
    </row>
    <row r="20" spans="7:10" x14ac:dyDescent="0.2">
      <c r="H20" s="11" t="s">
        <v>54</v>
      </c>
      <c r="I20" s="11" t="s">
        <v>38</v>
      </c>
      <c r="J20" s="11" t="s">
        <v>39</v>
      </c>
    </row>
    <row r="21" spans="7:10" x14ac:dyDescent="0.2">
      <c r="G21" s="3" t="s">
        <v>54</v>
      </c>
      <c r="H21" s="29" t="s">
        <v>25</v>
      </c>
      <c r="I21" s="29">
        <f>SUM(E14:E15)</f>
        <v>0.58333333333333337</v>
      </c>
      <c r="J21" s="29">
        <f>E14+E15</f>
        <v>0.58333333333333337</v>
      </c>
    </row>
    <row r="22" spans="7:10" x14ac:dyDescent="0.2">
      <c r="G22" s="3" t="s">
        <v>38</v>
      </c>
      <c r="H22" s="29">
        <f>E13+E15</f>
        <v>0.58333333333333337</v>
      </c>
      <c r="I22" s="29" t="s">
        <v>25</v>
      </c>
      <c r="J22" s="29">
        <f>E13+E15</f>
        <v>0.58333333333333337</v>
      </c>
    </row>
    <row r="23" spans="7:10" x14ac:dyDescent="0.2">
      <c r="G23" s="3" t="s">
        <v>39</v>
      </c>
      <c r="H23" s="29">
        <f>E13+E15</f>
        <v>0.58333333333333337</v>
      </c>
      <c r="I23" s="29">
        <f>SUM(E14:E15)</f>
        <v>0.58333333333333337</v>
      </c>
      <c r="J23" s="29" t="s">
        <v>25</v>
      </c>
    </row>
    <row r="24" spans="7:10" x14ac:dyDescent="0.2">
      <c r="G24" s="3"/>
    </row>
    <row r="27" spans="7:10" x14ac:dyDescent="0.2">
      <c r="G27" s="32" t="s">
        <v>46</v>
      </c>
    </row>
    <row r="28" spans="7:10" x14ac:dyDescent="0.2">
      <c r="H28" s="11" t="s">
        <v>54</v>
      </c>
      <c r="I28" s="11" t="s">
        <v>38</v>
      </c>
      <c r="J28" s="11" t="s">
        <v>39</v>
      </c>
    </row>
    <row r="29" spans="7:10" x14ac:dyDescent="0.2">
      <c r="G29" s="3" t="s">
        <v>54</v>
      </c>
      <c r="H29" s="29" t="s">
        <v>25</v>
      </c>
      <c r="I29" s="29">
        <f>I13-H13</f>
        <v>0.6</v>
      </c>
      <c r="J29" s="29">
        <f>J13-H13</f>
        <v>0.4</v>
      </c>
    </row>
    <row r="30" spans="7:10" x14ac:dyDescent="0.2">
      <c r="G30" s="3" t="s">
        <v>38</v>
      </c>
      <c r="H30" s="12">
        <v>0.4</v>
      </c>
      <c r="I30" s="12" t="s">
        <v>25</v>
      </c>
      <c r="J30" s="12">
        <v>0.1</v>
      </c>
    </row>
    <row r="31" spans="7:10" x14ac:dyDescent="0.2">
      <c r="G31" s="3" t="s">
        <v>39</v>
      </c>
      <c r="H31" s="12">
        <v>0.3</v>
      </c>
      <c r="I31" s="12">
        <v>0.2</v>
      </c>
      <c r="J31" s="12" t="s">
        <v>25</v>
      </c>
    </row>
    <row r="33" spans="7:11" x14ac:dyDescent="0.2">
      <c r="G33" s="30"/>
      <c r="H33" s="3" t="s">
        <v>47</v>
      </c>
      <c r="J33" s="21" t="s">
        <v>50</v>
      </c>
    </row>
    <row r="35" spans="7:11" x14ac:dyDescent="0.2">
      <c r="G35" s="25" t="s">
        <v>57</v>
      </c>
      <c r="H35" s="24">
        <f>MIN(I21:J21)</f>
        <v>0.58333333333333337</v>
      </c>
      <c r="J35" s="25" t="s">
        <v>57</v>
      </c>
      <c r="K35" s="24">
        <f>MAX(I29:J29)</f>
        <v>0.6</v>
      </c>
    </row>
    <row r="36" spans="7:11" x14ac:dyDescent="0.2">
      <c r="G36" s="25" t="s">
        <v>48</v>
      </c>
      <c r="H36" s="24">
        <f>MIN(H22:J22)</f>
        <v>0.58333333333333337</v>
      </c>
      <c r="J36" s="25" t="s">
        <v>48</v>
      </c>
      <c r="K36" s="24">
        <f>MAX(H30:J30)</f>
        <v>0.4</v>
      </c>
    </row>
    <row r="37" spans="7:11" x14ac:dyDescent="0.2">
      <c r="G37" s="25" t="s">
        <v>49</v>
      </c>
      <c r="H37" s="24">
        <f>MIN(H23:I23)</f>
        <v>0.58333333333333337</v>
      </c>
      <c r="J37" s="25" t="s">
        <v>49</v>
      </c>
      <c r="K37" s="24">
        <f t="shared" ref="K37" si="0">MAX(I31:J31)</f>
        <v>0.2</v>
      </c>
    </row>
    <row r="40" spans="7:11" x14ac:dyDescent="0.2">
      <c r="G40" s="11" t="s">
        <v>58</v>
      </c>
      <c r="I40" t="s">
        <v>51</v>
      </c>
    </row>
    <row r="42" spans="7:11" x14ac:dyDescent="0.2">
      <c r="G42" s="21" t="s">
        <v>59</v>
      </c>
      <c r="H42" s="21"/>
    </row>
  </sheetData>
  <phoneticPr fontId="8" type="noConversion"/>
  <pageMargins left="0.7" right="0.7" top="0.75" bottom="0.75" header="0.3" footer="0.3"/>
  <ignoredErrors>
    <ignoredError sqref="K3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Метод предпочтений</vt:lpstr>
      <vt:lpstr>Алгоритм Кемени-Снелла</vt:lpstr>
      <vt:lpstr>Метод Электра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Ulyana Procopuk</dc:creator>
  <cp:lastModifiedBy>Ulyana Procopuk</cp:lastModifiedBy>
  <dcterms:created xsi:type="dcterms:W3CDTF">2024-10-19T20:33:51Z</dcterms:created>
  <dcterms:modified xsi:type="dcterms:W3CDTF">2024-10-20T15:26:04Z</dcterms:modified>
</cp:coreProperties>
</file>